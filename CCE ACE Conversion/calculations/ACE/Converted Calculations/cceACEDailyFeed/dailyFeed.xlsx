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D:\Opti-Num\Projects\Anglo American\ACE Conversion\Data\"/>
    </mc:Choice>
  </mc:AlternateContent>
  <xr:revisionPtr revIDLastSave="0" documentId="13_ncr:1_{54F847BF-5DBB-4904-9880-B014C015425D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 a="1"/>
  <c r="I2" i="1" a="1"/>
  <c r="A2" i="1" a="1"/>
  <c r="D2" i="1" a="1"/>
  <c r="F2" i="1" a="1"/>
  <c r="AL2" i="1" a="1"/>
  <c r="AM2" i="1" a="1"/>
  <c r="AQ2" i="1" a="1"/>
  <c r="T2" i="1" a="1"/>
  <c r="C2" i="1" a="1"/>
  <c r="P2" i="1" a="1"/>
  <c r="J2" i="1" a="1"/>
  <c r="AO2" i="1" a="1"/>
  <c r="M2" i="1" a="1"/>
  <c r="AF2" i="1" a="1"/>
  <c r="O2" i="1" a="1"/>
  <c r="S2" i="1" a="1"/>
  <c r="N2" i="1" a="1"/>
  <c r="U2" i="1" a="1"/>
  <c r="R2" i="1" a="1"/>
  <c r="AV2" i="1" a="1"/>
  <c r="AB2" i="1" a="1"/>
  <c r="Q2" i="1" a="1"/>
  <c r="AH2" i="1" a="1"/>
  <c r="AJ2" i="1" a="1"/>
  <c r="AR2" i="1" a="1"/>
  <c r="AW2" i="1" a="1"/>
  <c r="H2" i="1" a="1"/>
  <c r="AD2" i="1" a="1"/>
  <c r="AA2" i="1" a="1"/>
  <c r="L2" i="1" a="1"/>
  <c r="AP2" i="1" a="1"/>
  <c r="G2" i="1" a="1"/>
  <c r="AK2" i="1" a="1"/>
  <c r="AI2" i="1" a="1"/>
  <c r="AE2" i="1" a="1"/>
  <c r="AC2" i="1" a="1"/>
  <c r="Z2" i="1" a="1"/>
  <c r="E2" i="1" a="1"/>
  <c r="AU2" i="1" a="1"/>
  <c r="AS2" i="1" a="1"/>
  <c r="AT2" i="1" a="1"/>
  <c r="AG2" i="1" a="1"/>
  <c r="AN2" i="1" a="1"/>
  <c r="Y2" i="1" a="1"/>
  <c r="X2" i="1" a="1"/>
  <c r="W2" i="1" a="1"/>
  <c r="V2" i="1" a="1"/>
  <c r="AX2" i="1" a="1"/>
  <c r="AX2" i="1" l="1"/>
  <c r="AX18" i="1"/>
  <c r="AX34" i="1"/>
  <c r="AX3" i="1"/>
  <c r="AX19" i="1"/>
  <c r="AX4" i="1"/>
  <c r="AX20" i="1"/>
  <c r="AX36" i="1"/>
  <c r="AX5" i="1"/>
  <c r="AX21" i="1"/>
  <c r="AX6" i="1"/>
  <c r="AX22" i="1"/>
  <c r="AX7" i="1"/>
  <c r="AX8" i="1"/>
  <c r="AX25" i="1"/>
  <c r="AX26" i="1"/>
  <c r="AX11" i="1"/>
  <c r="AX28" i="1"/>
  <c r="AX29" i="1"/>
  <c r="AX30" i="1"/>
  <c r="AX31" i="1"/>
  <c r="AX32" i="1"/>
  <c r="AX33" i="1"/>
  <c r="AX35" i="1"/>
  <c r="AX23" i="1"/>
  <c r="AX24" i="1"/>
  <c r="AX9" i="1"/>
  <c r="AX10" i="1"/>
  <c r="AX27" i="1"/>
  <c r="AX12" i="1"/>
  <c r="AX13" i="1"/>
  <c r="AX14" i="1"/>
  <c r="AX15" i="1"/>
  <c r="AX16" i="1"/>
  <c r="AX17" i="1"/>
  <c r="K17" i="1"/>
  <c r="K33" i="1"/>
  <c r="K18" i="1"/>
  <c r="K34" i="1"/>
  <c r="K19" i="1"/>
  <c r="K35" i="1"/>
  <c r="K4" i="1"/>
  <c r="K20" i="1"/>
  <c r="K36" i="1"/>
  <c r="K5" i="1"/>
  <c r="K21" i="1"/>
  <c r="K6" i="1"/>
  <c r="K23" i="1"/>
  <c r="K24" i="1"/>
  <c r="K9" i="1"/>
  <c r="K27" i="1"/>
  <c r="K28" i="1"/>
  <c r="K14" i="1"/>
  <c r="K31" i="1"/>
  <c r="K2" i="1"/>
  <c r="K8" i="1"/>
  <c r="K25" i="1"/>
  <c r="K26" i="1"/>
  <c r="K12" i="1"/>
  <c r="K29" i="1"/>
  <c r="K30" i="1"/>
  <c r="K16" i="1"/>
  <c r="K3" i="1"/>
  <c r="K22" i="1"/>
  <c r="K7" i="1"/>
  <c r="K10" i="1"/>
  <c r="K11" i="1"/>
  <c r="K13" i="1"/>
  <c r="K15" i="1"/>
  <c r="K32" i="1"/>
  <c r="I17" i="1"/>
  <c r="I33" i="1"/>
  <c r="I2" i="1"/>
  <c r="I18" i="1"/>
  <c r="I34" i="1"/>
  <c r="I3" i="1"/>
  <c r="I19" i="1"/>
  <c r="I35" i="1"/>
  <c r="I4" i="1"/>
  <c r="I20" i="1"/>
  <c r="I36" i="1"/>
  <c r="I5" i="1"/>
  <c r="I21" i="1"/>
  <c r="I6" i="1"/>
  <c r="I22" i="1"/>
  <c r="I7" i="1"/>
  <c r="I23" i="1"/>
  <c r="I8" i="1"/>
  <c r="I24" i="1"/>
  <c r="I9" i="1"/>
  <c r="I25" i="1"/>
  <c r="I10" i="1"/>
  <c r="I11" i="1"/>
  <c r="I27" i="1"/>
  <c r="I12" i="1"/>
  <c r="I28" i="1"/>
  <c r="I13" i="1"/>
  <c r="I29" i="1"/>
  <c r="I14" i="1"/>
  <c r="I15" i="1"/>
  <c r="I16" i="1"/>
  <c r="I32" i="1"/>
  <c r="I26" i="1"/>
  <c r="I30" i="1"/>
  <c r="I31" i="1"/>
  <c r="B9" i="1"/>
  <c r="B17" i="1"/>
  <c r="B25" i="1"/>
  <c r="B33" i="1"/>
  <c r="A2" i="1"/>
  <c r="A10" i="1"/>
  <c r="A18" i="1"/>
  <c r="A34" i="1"/>
  <c r="B10" i="1"/>
  <c r="B18" i="1"/>
  <c r="B26" i="1"/>
  <c r="B34" i="1"/>
  <c r="A3" i="1"/>
  <c r="A19" i="1"/>
  <c r="A27" i="1"/>
  <c r="B11" i="1"/>
  <c r="B19" i="1"/>
  <c r="A4" i="1"/>
  <c r="A28" i="1"/>
  <c r="B4" i="1"/>
  <c r="B28" i="1"/>
  <c r="A5" i="1"/>
  <c r="A29" i="1"/>
  <c r="B13" i="1"/>
  <c r="A14" i="1"/>
  <c r="B6" i="1"/>
  <c r="B22" i="1"/>
  <c r="A15" i="1"/>
  <c r="A16" i="1"/>
  <c r="B8" i="1"/>
  <c r="A9" i="1"/>
  <c r="A26" i="1"/>
  <c r="B3" i="1"/>
  <c r="B35" i="1"/>
  <c r="A12" i="1"/>
  <c r="A36" i="1"/>
  <c r="B20" i="1"/>
  <c r="B36" i="1"/>
  <c r="A13" i="1"/>
  <c r="B21" i="1"/>
  <c r="A6" i="1"/>
  <c r="A30" i="1"/>
  <c r="A23" i="1"/>
  <c r="B23" i="1"/>
  <c r="B16" i="1"/>
  <c r="A17" i="1"/>
  <c r="B2" i="1"/>
  <c r="A11" i="1"/>
  <c r="A35" i="1"/>
  <c r="B27" i="1"/>
  <c r="A20" i="1"/>
  <c r="B12" i="1"/>
  <c r="A21" i="1"/>
  <c r="B5" i="1"/>
  <c r="B29" i="1"/>
  <c r="A22" i="1"/>
  <c r="B14" i="1"/>
  <c r="A7" i="1"/>
  <c r="A31" i="1"/>
  <c r="B7" i="1"/>
  <c r="B31" i="1"/>
  <c r="A24" i="1"/>
  <c r="B24" i="1"/>
  <c r="A25" i="1"/>
  <c r="B30" i="1"/>
  <c r="B15" i="1"/>
  <c r="A8" i="1"/>
  <c r="A32" i="1"/>
  <c r="B32" i="1"/>
  <c r="A33" i="1"/>
  <c r="V19" i="1"/>
  <c r="V21" i="1"/>
  <c r="V16" i="1"/>
  <c r="V35" i="1"/>
  <c r="V22" i="1"/>
  <c r="V4" i="1"/>
  <c r="V23" i="1"/>
  <c r="V36" i="1"/>
  <c r="V25" i="1"/>
  <c r="V5" i="1"/>
  <c r="V11" i="1"/>
  <c r="V6" i="1"/>
  <c r="V12" i="1"/>
  <c r="V7" i="1"/>
  <c r="V28" i="1"/>
  <c r="V8" i="1"/>
  <c r="V13" i="1"/>
  <c r="V9" i="1"/>
  <c r="V29" i="1"/>
  <c r="V26" i="1"/>
  <c r="V14" i="1"/>
  <c r="V2" i="1"/>
  <c r="V31" i="1"/>
  <c r="V18" i="1"/>
  <c r="V32" i="1"/>
  <c r="V33" i="1"/>
  <c r="V27" i="1"/>
  <c r="V34" i="1"/>
  <c r="V3" i="1"/>
  <c r="V15" i="1"/>
  <c r="V24" i="1"/>
  <c r="V17" i="1"/>
  <c r="V20" i="1"/>
  <c r="V10" i="1"/>
  <c r="V30" i="1"/>
  <c r="W4" i="1"/>
  <c r="W19" i="1"/>
  <c r="W36" i="1"/>
  <c r="W35" i="1"/>
  <c r="W5" i="1"/>
  <c r="W20" i="1"/>
  <c r="W7" i="1"/>
  <c r="W6" i="1"/>
  <c r="W8" i="1"/>
  <c r="W23" i="1"/>
  <c r="W25" i="1"/>
  <c r="W24" i="1"/>
  <c r="W10" i="1"/>
  <c r="W9" i="1"/>
  <c r="W27" i="1"/>
  <c r="W26" i="1"/>
  <c r="W12" i="1"/>
  <c r="W11" i="1"/>
  <c r="W13" i="1"/>
  <c r="W28" i="1"/>
  <c r="W33" i="1"/>
  <c r="W30" i="1"/>
  <c r="W15" i="1"/>
  <c r="W2" i="1"/>
  <c r="W31" i="1"/>
  <c r="W16" i="1"/>
  <c r="W22" i="1"/>
  <c r="W14" i="1"/>
  <c r="W32" i="1"/>
  <c r="W18" i="1"/>
  <c r="W3" i="1"/>
  <c r="W21" i="1"/>
  <c r="W29" i="1"/>
  <c r="W34" i="1"/>
  <c r="W17" i="1"/>
  <c r="X35" i="1"/>
  <c r="X12" i="1"/>
  <c r="X4" i="1"/>
  <c r="X15" i="1"/>
  <c r="X20" i="1"/>
  <c r="X16" i="1"/>
  <c r="X5" i="1"/>
  <c r="X26" i="1"/>
  <c r="X21" i="1"/>
  <c r="X27" i="1"/>
  <c r="X6" i="1"/>
  <c r="X13" i="1"/>
  <c r="X22" i="1"/>
  <c r="X14" i="1"/>
  <c r="X17" i="1"/>
  <c r="X7" i="1"/>
  <c r="X30" i="1"/>
  <c r="X33" i="1"/>
  <c r="X23" i="1"/>
  <c r="X31" i="1"/>
  <c r="X28" i="1"/>
  <c r="X8" i="1"/>
  <c r="X32" i="1"/>
  <c r="X2" i="1"/>
  <c r="X9" i="1"/>
  <c r="X18" i="1"/>
  <c r="X25" i="1"/>
  <c r="X24" i="1"/>
  <c r="X19" i="1"/>
  <c r="X29" i="1"/>
  <c r="X34" i="1"/>
  <c r="X36" i="1"/>
  <c r="X10" i="1"/>
  <c r="X11" i="1"/>
  <c r="X3" i="1"/>
  <c r="Y5" i="1"/>
  <c r="Y13" i="1"/>
  <c r="Y21" i="1"/>
  <c r="Y29" i="1"/>
  <c r="Y6" i="1"/>
  <c r="Y14" i="1"/>
  <c r="Y7" i="1"/>
  <c r="Y15" i="1"/>
  <c r="Y17" i="1"/>
  <c r="Y23" i="1"/>
  <c r="Y31" i="1"/>
  <c r="Y33" i="1"/>
  <c r="Y8" i="1"/>
  <c r="Y16" i="1"/>
  <c r="Y2" i="1"/>
  <c r="Y24" i="1"/>
  <c r="Y32" i="1"/>
  <c r="Y18" i="1"/>
  <c r="Y9" i="1"/>
  <c r="Y34" i="1"/>
  <c r="Y25" i="1"/>
  <c r="Y3" i="1"/>
  <c r="Y10" i="1"/>
  <c r="Y35" i="1"/>
  <c r="Y11" i="1"/>
  <c r="Y4" i="1"/>
  <c r="Y27" i="1"/>
  <c r="Y22" i="1"/>
  <c r="Y26" i="1"/>
  <c r="Y12" i="1"/>
  <c r="Y28" i="1"/>
  <c r="Y30" i="1"/>
  <c r="Y36" i="1"/>
  <c r="Y20" i="1"/>
  <c r="Y19" i="1"/>
  <c r="AN3" i="1"/>
  <c r="AN2" i="1"/>
  <c r="AG29" i="1"/>
  <c r="AG2" i="1"/>
  <c r="AG21" i="1"/>
  <c r="AG18" i="1"/>
  <c r="AG14" i="1"/>
  <c r="AG24" i="1"/>
  <c r="AG10" i="1"/>
  <c r="AG15" i="1"/>
  <c r="AG31" i="1"/>
  <c r="AG3" i="1"/>
  <c r="AG22" i="1"/>
  <c r="AG26" i="1"/>
  <c r="AG16" i="1"/>
  <c r="AG19" i="1"/>
  <c r="AG17" i="1"/>
  <c r="AG11" i="1"/>
  <c r="AG7" i="1"/>
  <c r="AG35" i="1"/>
  <c r="AG32" i="1"/>
  <c r="AG27" i="1"/>
  <c r="AG33" i="1"/>
  <c r="AG6" i="1"/>
  <c r="AG34" i="1"/>
  <c r="AG23" i="1"/>
  <c r="AG13" i="1"/>
  <c r="AG30" i="1"/>
  <c r="AG12" i="1"/>
  <c r="AG8" i="1"/>
  <c r="AG9" i="1"/>
  <c r="AG4" i="1"/>
  <c r="AG25" i="1"/>
  <c r="AG5" i="1"/>
  <c r="AG28" i="1"/>
  <c r="AG20" i="1"/>
  <c r="AT34" i="1"/>
  <c r="AT12" i="1"/>
  <c r="AT23" i="1"/>
  <c r="AT31" i="1"/>
  <c r="AT4" i="1"/>
  <c r="AT29" i="1"/>
  <c r="AT26" i="1"/>
  <c r="AT30" i="1"/>
  <c r="AT24" i="1"/>
  <c r="AT19" i="1"/>
  <c r="AT11" i="1"/>
  <c r="AT15" i="1"/>
  <c r="AT5" i="1"/>
  <c r="AT9" i="1"/>
  <c r="AT2" i="1"/>
  <c r="AT16" i="1"/>
  <c r="AT28" i="1"/>
  <c r="AT35" i="1"/>
  <c r="AT21" i="1"/>
  <c r="AT25" i="1"/>
  <c r="AT17" i="1"/>
  <c r="AT13" i="1"/>
  <c r="AT33" i="1"/>
  <c r="AT14" i="1"/>
  <c r="AT22" i="1"/>
  <c r="AT27" i="1"/>
  <c r="AT8" i="1"/>
  <c r="AT10" i="1"/>
  <c r="AT32" i="1"/>
  <c r="AT3" i="1"/>
  <c r="AT18" i="1"/>
  <c r="AT20" i="1"/>
  <c r="AT6" i="1"/>
  <c r="AT7" i="1"/>
  <c r="AS2" i="1"/>
  <c r="AS3" i="1"/>
  <c r="AU22" i="1"/>
  <c r="AU7" i="1"/>
  <c r="AU18" i="1"/>
  <c r="AU5" i="1"/>
  <c r="AU27" i="1"/>
  <c r="AU21" i="1"/>
  <c r="AU25" i="1"/>
  <c r="AU28" i="1"/>
  <c r="AU8" i="1"/>
  <c r="AU9" i="1"/>
  <c r="AU3" i="1"/>
  <c r="AU26" i="1"/>
  <c r="AU29" i="1"/>
  <c r="AU10" i="1"/>
  <c r="AU17" i="1"/>
  <c r="AU11" i="1"/>
  <c r="AU19" i="1"/>
  <c r="AU13" i="1"/>
  <c r="AU31" i="1"/>
  <c r="AU12" i="1"/>
  <c r="AU33" i="1"/>
  <c r="AU15" i="1"/>
  <c r="AU23" i="1"/>
  <c r="AU2" i="1"/>
  <c r="AU4" i="1"/>
  <c r="AU34" i="1"/>
  <c r="AU35" i="1"/>
  <c r="AU30" i="1"/>
  <c r="AU16" i="1"/>
  <c r="AU20" i="1"/>
  <c r="AU6" i="1"/>
  <c r="AU14" i="1"/>
  <c r="AU24" i="1"/>
  <c r="AU32" i="1"/>
  <c r="E28" i="1"/>
  <c r="E8" i="1"/>
  <c r="E20" i="1"/>
  <c r="E31" i="1"/>
  <c r="E13" i="1"/>
  <c r="E23" i="1"/>
  <c r="E9" i="1"/>
  <c r="E14" i="1"/>
  <c r="E32" i="1"/>
  <c r="E18" i="1"/>
  <c r="E17" i="1"/>
  <c r="E25" i="1"/>
  <c r="E16" i="1"/>
  <c r="E10" i="1"/>
  <c r="E5" i="1"/>
  <c r="E3" i="1"/>
  <c r="E27" i="1"/>
  <c r="E26" i="1"/>
  <c r="E6" i="1"/>
  <c r="E2" i="1"/>
  <c r="E34" i="1"/>
  <c r="E4" i="1"/>
  <c r="E19" i="1"/>
  <c r="E21" i="1"/>
  <c r="E22" i="1"/>
  <c r="E11" i="1"/>
  <c r="E35" i="1"/>
  <c r="E29" i="1"/>
  <c r="E12" i="1"/>
  <c r="E15" i="1"/>
  <c r="E7" i="1"/>
  <c r="E33" i="1"/>
  <c r="E30" i="1"/>
  <c r="E24" i="1"/>
  <c r="Z19" i="1"/>
  <c r="Z30" i="1"/>
  <c r="Z35" i="1"/>
  <c r="Z16" i="1"/>
  <c r="Z17" i="1"/>
  <c r="Z4" i="1"/>
  <c r="Z9" i="1"/>
  <c r="Z23" i="1"/>
  <c r="Z36" i="1"/>
  <c r="Z31" i="1"/>
  <c r="Z25" i="1"/>
  <c r="Z5" i="1"/>
  <c r="Z26" i="1"/>
  <c r="Z21" i="1"/>
  <c r="Z27" i="1"/>
  <c r="Z6" i="1"/>
  <c r="Z12" i="1"/>
  <c r="Z22" i="1"/>
  <c r="Z13" i="1"/>
  <c r="Z7" i="1"/>
  <c r="Z15" i="1"/>
  <c r="Z8" i="1"/>
  <c r="Z2" i="1"/>
  <c r="Z10" i="1"/>
  <c r="Z18" i="1"/>
  <c r="Z11" i="1"/>
  <c r="Z28" i="1"/>
  <c r="Z33" i="1"/>
  <c r="Z32" i="1"/>
  <c r="Z34" i="1"/>
  <c r="Z29" i="1"/>
  <c r="Z3" i="1"/>
  <c r="Z20" i="1"/>
  <c r="Z14" i="1"/>
  <c r="Z24" i="1"/>
  <c r="AC22" i="1"/>
  <c r="AC18" i="1"/>
  <c r="AC6" i="1"/>
  <c r="AC26" i="1"/>
  <c r="AC30" i="1"/>
  <c r="AC17" i="1"/>
  <c r="AC3" i="1"/>
  <c r="AC33" i="1"/>
  <c r="AC10" i="1"/>
  <c r="AC19" i="1"/>
  <c r="AC32" i="1"/>
  <c r="AC16" i="1"/>
  <c r="AC2" i="1"/>
  <c r="AC35" i="1"/>
  <c r="AC15" i="1"/>
  <c r="AC27" i="1"/>
  <c r="AC28" i="1"/>
  <c r="AC4" i="1"/>
  <c r="AC31" i="1"/>
  <c r="AC25" i="1"/>
  <c r="AC20" i="1"/>
  <c r="AC13" i="1"/>
  <c r="AC7" i="1"/>
  <c r="AC23" i="1"/>
  <c r="AC9" i="1"/>
  <c r="AC5" i="1"/>
  <c r="AC14" i="1"/>
  <c r="AC8" i="1"/>
  <c r="AC21" i="1"/>
  <c r="AC29" i="1"/>
  <c r="AC24" i="1"/>
  <c r="AC34" i="1"/>
  <c r="AC11" i="1"/>
  <c r="AC12" i="1"/>
  <c r="AE35" i="1"/>
  <c r="AE11" i="1"/>
  <c r="AE23" i="1"/>
  <c r="AE31" i="1"/>
  <c r="AE4" i="1"/>
  <c r="AE28" i="1"/>
  <c r="AE20" i="1"/>
  <c r="AE2" i="1"/>
  <c r="AE9" i="1"/>
  <c r="AE15" i="1"/>
  <c r="AE7" i="1"/>
  <c r="AE17" i="1"/>
  <c r="AE27" i="1"/>
  <c r="AE33" i="1"/>
  <c r="AE24" i="1"/>
  <c r="AE18" i="1"/>
  <c r="AE5" i="1"/>
  <c r="AE12" i="1"/>
  <c r="AE13" i="1"/>
  <c r="AE34" i="1"/>
  <c r="AE25" i="1"/>
  <c r="AE32" i="1"/>
  <c r="AE3" i="1"/>
  <c r="AE10" i="1"/>
  <c r="AE6" i="1"/>
  <c r="AE14" i="1"/>
  <c r="AE22" i="1"/>
  <c r="AE29" i="1"/>
  <c r="AE21" i="1"/>
  <c r="AE19" i="1"/>
  <c r="AE16" i="1"/>
  <c r="AE8" i="1"/>
  <c r="AE30" i="1"/>
  <c r="AE26" i="1"/>
  <c r="AI12" i="1"/>
  <c r="AI5" i="1"/>
  <c r="AI34" i="1"/>
  <c r="AI25" i="1"/>
  <c r="AI29" i="1"/>
  <c r="AI21" i="1"/>
  <c r="AI14" i="1"/>
  <c r="AI6" i="1"/>
  <c r="AI19" i="1"/>
  <c r="AI27" i="1"/>
  <c r="AI16" i="1"/>
  <c r="AI22" i="1"/>
  <c r="AI35" i="1"/>
  <c r="AI28" i="1"/>
  <c r="AI10" i="1"/>
  <c r="AI7" i="1"/>
  <c r="AI17" i="1"/>
  <c r="AI30" i="1"/>
  <c r="AI4" i="1"/>
  <c r="AI31" i="1"/>
  <c r="AI33" i="1"/>
  <c r="AI8" i="1"/>
  <c r="AI2" i="1"/>
  <c r="AI20" i="1"/>
  <c r="AI9" i="1"/>
  <c r="AI3" i="1"/>
  <c r="AI11" i="1"/>
  <c r="AI15" i="1"/>
  <c r="AI32" i="1"/>
  <c r="AI13" i="1"/>
  <c r="AI24" i="1"/>
  <c r="AI26" i="1"/>
  <c r="AI23" i="1"/>
  <c r="AI18" i="1"/>
  <c r="AK30" i="1"/>
  <c r="AK21" i="1"/>
  <c r="AK13" i="1"/>
  <c r="AK3" i="1"/>
  <c r="AK26" i="1"/>
  <c r="AK31" i="1"/>
  <c r="AK6" i="1"/>
  <c r="AK19" i="1"/>
  <c r="AK22" i="1"/>
  <c r="AK16" i="1"/>
  <c r="AK12" i="1"/>
  <c r="AK33" i="1"/>
  <c r="AK7" i="1"/>
  <c r="AK35" i="1"/>
  <c r="AK29" i="1"/>
  <c r="AK14" i="1"/>
  <c r="AK25" i="1"/>
  <c r="AK23" i="1"/>
  <c r="AK15" i="1"/>
  <c r="AK4" i="1"/>
  <c r="AK10" i="1"/>
  <c r="AK20" i="1"/>
  <c r="AK11" i="1"/>
  <c r="AK24" i="1"/>
  <c r="AK2" i="1"/>
  <c r="AK5" i="1"/>
  <c r="AK9" i="1"/>
  <c r="AK34" i="1"/>
  <c r="AK32" i="1"/>
  <c r="AK27" i="1"/>
  <c r="AK18" i="1"/>
  <c r="AK17" i="1"/>
  <c r="AK8" i="1"/>
  <c r="AK28" i="1"/>
  <c r="G13" i="1"/>
  <c r="G6" i="1"/>
  <c r="G30" i="1"/>
  <c r="G4" i="1"/>
  <c r="G7" i="1"/>
  <c r="G23" i="1"/>
  <c r="G15" i="1"/>
  <c r="G14" i="1"/>
  <c r="G8" i="1"/>
  <c r="G33" i="1"/>
  <c r="G32" i="1"/>
  <c r="G35" i="1"/>
  <c r="G24" i="1"/>
  <c r="G5" i="1"/>
  <c r="G2" i="1"/>
  <c r="G22" i="1"/>
  <c r="G9" i="1"/>
  <c r="G26" i="1"/>
  <c r="G18" i="1"/>
  <c r="G29" i="1"/>
  <c r="G25" i="1"/>
  <c r="G11" i="1"/>
  <c r="G31" i="1"/>
  <c r="G34" i="1"/>
  <c r="G21" i="1"/>
  <c r="G10" i="1"/>
  <c r="G3" i="1"/>
  <c r="G17" i="1"/>
  <c r="G12" i="1"/>
  <c r="G27" i="1"/>
  <c r="G16" i="1"/>
  <c r="G19" i="1"/>
  <c r="G20" i="1"/>
  <c r="G28" i="1"/>
  <c r="AP3" i="1"/>
  <c r="AP2" i="1"/>
  <c r="L2" i="1"/>
  <c r="L3" i="1"/>
  <c r="AA33" i="1"/>
  <c r="AA12" i="1"/>
  <c r="AA31" i="1"/>
  <c r="AA2" i="1"/>
  <c r="AA14" i="1"/>
  <c r="AA32" i="1"/>
  <c r="AA18" i="1"/>
  <c r="AA15" i="1"/>
  <c r="AA35" i="1"/>
  <c r="AA3" i="1"/>
  <c r="AA4" i="1"/>
  <c r="AA19" i="1"/>
  <c r="AA20" i="1"/>
  <c r="AA7" i="1"/>
  <c r="AA36" i="1"/>
  <c r="AA24" i="1"/>
  <c r="AA5" i="1"/>
  <c r="AA9" i="1"/>
  <c r="AA21" i="1"/>
  <c r="AA25" i="1"/>
  <c r="AA6" i="1"/>
  <c r="AA26" i="1"/>
  <c r="AA23" i="1"/>
  <c r="AA28" i="1"/>
  <c r="AA8" i="1"/>
  <c r="AA13" i="1"/>
  <c r="AA16" i="1"/>
  <c r="AA17" i="1"/>
  <c r="AA11" i="1"/>
  <c r="AA34" i="1"/>
  <c r="AA29" i="1"/>
  <c r="AA30" i="1"/>
  <c r="AA27" i="1"/>
  <c r="AA10" i="1"/>
  <c r="AA22" i="1"/>
  <c r="AD5" i="1"/>
  <c r="AD24" i="1"/>
  <c r="AD30" i="1"/>
  <c r="AD31" i="1"/>
  <c r="AD2" i="1"/>
  <c r="AD33" i="1"/>
  <c r="AD9" i="1"/>
  <c r="AD32" i="1"/>
  <c r="AD25" i="1"/>
  <c r="AD10" i="1"/>
  <c r="AD34" i="1"/>
  <c r="AD6" i="1"/>
  <c r="AD26" i="1"/>
  <c r="AD27" i="1"/>
  <c r="AD3" i="1"/>
  <c r="AD22" i="1"/>
  <c r="AD11" i="1"/>
  <c r="AD28" i="1"/>
  <c r="AD19" i="1"/>
  <c r="AD7" i="1"/>
  <c r="AD12" i="1"/>
  <c r="AD23" i="1"/>
  <c r="AD4" i="1"/>
  <c r="AD15" i="1"/>
  <c r="AD20" i="1"/>
  <c r="AD18" i="1"/>
  <c r="AD35" i="1"/>
  <c r="AD16" i="1"/>
  <c r="AD29" i="1"/>
  <c r="AD14" i="1"/>
  <c r="AD17" i="1"/>
  <c r="AD8" i="1"/>
  <c r="AD21" i="1"/>
  <c r="AD13" i="1"/>
  <c r="H25" i="1"/>
  <c r="H7" i="1"/>
  <c r="H27" i="1"/>
  <c r="H8" i="1"/>
  <c r="H13" i="1"/>
  <c r="H10" i="1"/>
  <c r="H31" i="1"/>
  <c r="H28" i="1"/>
  <c r="H2" i="1"/>
  <c r="H30" i="1"/>
  <c r="H18" i="1"/>
  <c r="H16" i="1"/>
  <c r="H34" i="1"/>
  <c r="H35" i="1"/>
  <c r="H3" i="1"/>
  <c r="H26" i="1"/>
  <c r="H19" i="1"/>
  <c r="H12" i="1"/>
  <c r="H17" i="1"/>
  <c r="H4" i="1"/>
  <c r="H29" i="1"/>
  <c r="H6" i="1"/>
  <c r="H36" i="1"/>
  <c r="H32" i="1"/>
  <c r="H23" i="1"/>
  <c r="H5" i="1"/>
  <c r="H11" i="1"/>
  <c r="H24" i="1"/>
  <c r="H20" i="1"/>
  <c r="H15" i="1"/>
  <c r="H33" i="1"/>
  <c r="H9" i="1"/>
  <c r="H21" i="1"/>
  <c r="H14" i="1"/>
  <c r="H22" i="1"/>
  <c r="AW11" i="1"/>
  <c r="AW8" i="1"/>
  <c r="AW3" i="1"/>
  <c r="AW7" i="1"/>
  <c r="AW13" i="1"/>
  <c r="AW9" i="1"/>
  <c r="AW15" i="1"/>
  <c r="AW28" i="1"/>
  <c r="AW17" i="1"/>
  <c r="AW19" i="1"/>
  <c r="AW20" i="1"/>
  <c r="AW27" i="1"/>
  <c r="AW16" i="1"/>
  <c r="AW12" i="1"/>
  <c r="AW33" i="1"/>
  <c r="AW14" i="1"/>
  <c r="AW31" i="1"/>
  <c r="AW21" i="1"/>
  <c r="AW30" i="1"/>
  <c r="AW24" i="1"/>
  <c r="AW32" i="1"/>
  <c r="AW29" i="1"/>
  <c r="AW26" i="1"/>
  <c r="AW2" i="1"/>
  <c r="AW10" i="1"/>
  <c r="AW35" i="1"/>
  <c r="AW18" i="1"/>
  <c r="AW34" i="1"/>
  <c r="AW23" i="1"/>
  <c r="AW6" i="1"/>
  <c r="AW5" i="1"/>
  <c r="AW25" i="1"/>
  <c r="AW4" i="1"/>
  <c r="AW22" i="1"/>
  <c r="AR3" i="1"/>
  <c r="AR2" i="1"/>
  <c r="AJ7" i="1"/>
  <c r="AJ19" i="1"/>
  <c r="AJ4" i="1"/>
  <c r="AJ13" i="1"/>
  <c r="AJ28" i="1"/>
  <c r="AJ23" i="1"/>
  <c r="AJ8" i="1"/>
  <c r="AJ16" i="1"/>
  <c r="AJ11" i="1"/>
  <c r="AJ24" i="1"/>
  <c r="AJ5" i="1"/>
  <c r="AJ31" i="1"/>
  <c r="AJ29" i="1"/>
  <c r="AJ9" i="1"/>
  <c r="AJ30" i="1"/>
  <c r="AJ25" i="1"/>
  <c r="AJ17" i="1"/>
  <c r="AJ18" i="1"/>
  <c r="AJ6" i="1"/>
  <c r="AJ26" i="1"/>
  <c r="AJ22" i="1"/>
  <c r="AJ2" i="1"/>
  <c r="AJ35" i="1"/>
  <c r="AJ20" i="1"/>
  <c r="AJ10" i="1"/>
  <c r="AJ21" i="1"/>
  <c r="AJ12" i="1"/>
  <c r="AJ32" i="1"/>
  <c r="AJ15" i="1"/>
  <c r="AJ3" i="1"/>
  <c r="AJ33" i="1"/>
  <c r="AJ27" i="1"/>
  <c r="AJ14" i="1"/>
  <c r="AJ34" i="1"/>
  <c r="AH8" i="1"/>
  <c r="AH22" i="1"/>
  <c r="AH35" i="1"/>
  <c r="AH26" i="1"/>
  <c r="AH10" i="1"/>
  <c r="AH7" i="1"/>
  <c r="AH12" i="1"/>
  <c r="AH31" i="1"/>
  <c r="AH20" i="1"/>
  <c r="AH23" i="1"/>
  <c r="AH13" i="1"/>
  <c r="AH9" i="1"/>
  <c r="AH32" i="1"/>
  <c r="AH17" i="1"/>
  <c r="AH28" i="1"/>
  <c r="AH27" i="1"/>
  <c r="AH5" i="1"/>
  <c r="AH11" i="1"/>
  <c r="AH2" i="1"/>
  <c r="AH30" i="1"/>
  <c r="AH29" i="1"/>
  <c r="AH33" i="1"/>
  <c r="AH15" i="1"/>
  <c r="AH21" i="1"/>
  <c r="AH24" i="1"/>
  <c r="AH6" i="1"/>
  <c r="AH3" i="1"/>
  <c r="AH19" i="1"/>
  <c r="AH25" i="1"/>
  <c r="AH34" i="1"/>
  <c r="AH14" i="1"/>
  <c r="AH18" i="1"/>
  <c r="AH16" i="1"/>
  <c r="AH4" i="1"/>
  <c r="Q25" i="1"/>
  <c r="Q34" i="1"/>
  <c r="Q7" i="1"/>
  <c r="Q16" i="1"/>
  <c r="Q11" i="1"/>
  <c r="Q27" i="1"/>
  <c r="Q12" i="1"/>
  <c r="Q31" i="1"/>
  <c r="Q24" i="1"/>
  <c r="Q4" i="1"/>
  <c r="Q13" i="1"/>
  <c r="Q35" i="1"/>
  <c r="Q3" i="1"/>
  <c r="Q14" i="1"/>
  <c r="Q17" i="1"/>
  <c r="Q5" i="1"/>
  <c r="Q26" i="1"/>
  <c r="Q19" i="1"/>
  <c r="Q15" i="1"/>
  <c r="Q21" i="1"/>
  <c r="Q8" i="1"/>
  <c r="Q28" i="1"/>
  <c r="Q33" i="1"/>
  <c r="Q32" i="1"/>
  <c r="Q6" i="1"/>
  <c r="Q30" i="1"/>
  <c r="Q9" i="1"/>
  <c r="Q22" i="1"/>
  <c r="Q10" i="1"/>
  <c r="Q2" i="1"/>
  <c r="Q23" i="1"/>
  <c r="Q18" i="1"/>
  <c r="Q29" i="1"/>
  <c r="Q20" i="1"/>
  <c r="AB10" i="1"/>
  <c r="AB36" i="1"/>
  <c r="AB26" i="1"/>
  <c r="AB5" i="1"/>
  <c r="AB11" i="1"/>
  <c r="AB21" i="1"/>
  <c r="AB29" i="1"/>
  <c r="AB22" i="1"/>
  <c r="AB14" i="1"/>
  <c r="AB7" i="1"/>
  <c r="AB15" i="1"/>
  <c r="AB23" i="1"/>
  <c r="AB32" i="1"/>
  <c r="AB24" i="1"/>
  <c r="AB2" i="1"/>
  <c r="AB27" i="1"/>
  <c r="AB18" i="1"/>
  <c r="AB28" i="1"/>
  <c r="AB34" i="1"/>
  <c r="AB13" i="1"/>
  <c r="AB17" i="1"/>
  <c r="AB19" i="1"/>
  <c r="AB16" i="1"/>
  <c r="AB33" i="1"/>
  <c r="AB35" i="1"/>
  <c r="AB9" i="1"/>
  <c r="AB8" i="1"/>
  <c r="AB25" i="1"/>
  <c r="AB12" i="1"/>
  <c r="AB3" i="1"/>
  <c r="AB4" i="1"/>
  <c r="AB20" i="1"/>
  <c r="AB6" i="1"/>
  <c r="AB30" i="1"/>
  <c r="AB31" i="1"/>
  <c r="AV8" i="1"/>
  <c r="AV26" i="1"/>
  <c r="AV23" i="1"/>
  <c r="AV20" i="1"/>
  <c r="AV31" i="1"/>
  <c r="AV24" i="1"/>
  <c r="AV33" i="1"/>
  <c r="AV9" i="1"/>
  <c r="AV16" i="1"/>
  <c r="AV21" i="1"/>
  <c r="AV29" i="1"/>
  <c r="AV10" i="1"/>
  <c r="AV28" i="1"/>
  <c r="AV6" i="1"/>
  <c r="AV32" i="1"/>
  <c r="AV27" i="1"/>
  <c r="AV13" i="1"/>
  <c r="AV22" i="1"/>
  <c r="AV2" i="1"/>
  <c r="AV12" i="1"/>
  <c r="AV30" i="1"/>
  <c r="AV14" i="1"/>
  <c r="AV25" i="1"/>
  <c r="AV3" i="1"/>
  <c r="AV4" i="1"/>
  <c r="AV15" i="1"/>
  <c r="AV34" i="1"/>
  <c r="AV17" i="1"/>
  <c r="AV35" i="1"/>
  <c r="AV5" i="1"/>
  <c r="AV11" i="1"/>
  <c r="AV19" i="1"/>
  <c r="AV18" i="1"/>
  <c r="AV7" i="1"/>
  <c r="R29" i="1"/>
  <c r="R32" i="1"/>
  <c r="R5" i="1"/>
  <c r="R8" i="1"/>
  <c r="R31" i="1"/>
  <c r="R24" i="1"/>
  <c r="R25" i="1"/>
  <c r="R21" i="1"/>
  <c r="R9" i="1"/>
  <c r="R34" i="1"/>
  <c r="R16" i="1"/>
  <c r="R10" i="1"/>
  <c r="R33" i="1"/>
  <c r="R3" i="1"/>
  <c r="R6" i="1"/>
  <c r="R26" i="1"/>
  <c r="R27" i="1"/>
  <c r="R19" i="1"/>
  <c r="R14" i="1"/>
  <c r="R11" i="1"/>
  <c r="R7" i="1"/>
  <c r="R28" i="1"/>
  <c r="R23" i="1"/>
  <c r="R4" i="1"/>
  <c r="R2" i="1"/>
  <c r="R18" i="1"/>
  <c r="R15" i="1"/>
  <c r="R35" i="1"/>
  <c r="R20" i="1"/>
  <c r="R13" i="1"/>
  <c r="R17" i="1"/>
  <c r="R30" i="1"/>
  <c r="R12" i="1"/>
  <c r="R22" i="1"/>
  <c r="U32" i="1"/>
  <c r="U30" i="1"/>
  <c r="U25" i="1"/>
  <c r="U19" i="1"/>
  <c r="U22" i="1"/>
  <c r="U4" i="1"/>
  <c r="U7" i="1"/>
  <c r="U35" i="1"/>
  <c r="U12" i="1"/>
  <c r="U16" i="1"/>
  <c r="U23" i="1"/>
  <c r="U24" i="1"/>
  <c r="U20" i="1"/>
  <c r="U29" i="1"/>
  <c r="U18" i="1"/>
  <c r="U13" i="1"/>
  <c r="U8" i="1"/>
  <c r="U27" i="1"/>
  <c r="U5" i="1"/>
  <c r="U15" i="1"/>
  <c r="U14" i="1"/>
  <c r="U9" i="1"/>
  <c r="U28" i="1"/>
  <c r="U3" i="1"/>
  <c r="U11" i="1"/>
  <c r="U31" i="1"/>
  <c r="U10" i="1"/>
  <c r="U33" i="1"/>
  <c r="U17" i="1"/>
  <c r="U34" i="1"/>
  <c r="U21" i="1"/>
  <c r="U6" i="1"/>
  <c r="U2" i="1"/>
  <c r="U26" i="1"/>
  <c r="N3" i="1"/>
  <c r="N2" i="1"/>
  <c r="S16" i="1"/>
  <c r="S23" i="1"/>
  <c r="S4" i="1"/>
  <c r="S15" i="1"/>
  <c r="S8" i="1"/>
  <c r="S24" i="1"/>
  <c r="S13" i="1"/>
  <c r="S25" i="1"/>
  <c r="S17" i="1"/>
  <c r="S18" i="1"/>
  <c r="S5" i="1"/>
  <c r="S7" i="1"/>
  <c r="S30" i="1"/>
  <c r="S28" i="1"/>
  <c r="S33" i="1"/>
  <c r="S32" i="1"/>
  <c r="S34" i="1"/>
  <c r="S21" i="1"/>
  <c r="S26" i="1"/>
  <c r="S27" i="1"/>
  <c r="S31" i="1"/>
  <c r="S9" i="1"/>
  <c r="S2" i="1"/>
  <c r="S22" i="1"/>
  <c r="S14" i="1"/>
  <c r="S12" i="1"/>
  <c r="S20" i="1"/>
  <c r="S3" i="1"/>
  <c r="S19" i="1"/>
  <c r="S35" i="1"/>
  <c r="S6" i="1"/>
  <c r="S10" i="1"/>
  <c r="S11" i="1"/>
  <c r="S29" i="1"/>
  <c r="O3" i="1"/>
  <c r="O2" i="1"/>
  <c r="AF18" i="1"/>
  <c r="AF9" i="1"/>
  <c r="AF34" i="1"/>
  <c r="AF25" i="1"/>
  <c r="AF3" i="1"/>
  <c r="AF11" i="1"/>
  <c r="AF35" i="1"/>
  <c r="AF13" i="1"/>
  <c r="AF4" i="1"/>
  <c r="AF14" i="1"/>
  <c r="AF20" i="1"/>
  <c r="AF15" i="1"/>
  <c r="AF36" i="1"/>
  <c r="AF16" i="1"/>
  <c r="AF5" i="1"/>
  <c r="AF26" i="1"/>
  <c r="AF17" i="1"/>
  <c r="AF21" i="1"/>
  <c r="AF29" i="1"/>
  <c r="AF33" i="1"/>
  <c r="AF6" i="1"/>
  <c r="AF30" i="1"/>
  <c r="AF27" i="1"/>
  <c r="AF7" i="1"/>
  <c r="AF28" i="1"/>
  <c r="AF23" i="1"/>
  <c r="AF12" i="1"/>
  <c r="AF32" i="1"/>
  <c r="AF2" i="1"/>
  <c r="AF19" i="1"/>
  <c r="AF24" i="1"/>
  <c r="AF31" i="1"/>
  <c r="AF8" i="1"/>
  <c r="AF10" i="1"/>
  <c r="AF22" i="1"/>
  <c r="M2" i="1"/>
  <c r="M3" i="1"/>
  <c r="AO2" i="1"/>
  <c r="AO3" i="1"/>
  <c r="J34" i="1"/>
  <c r="J8" i="1"/>
  <c r="J3" i="1"/>
  <c r="J25" i="1"/>
  <c r="J35" i="1"/>
  <c r="J11" i="1"/>
  <c r="J17" i="1"/>
  <c r="J20" i="1"/>
  <c r="J14" i="1"/>
  <c r="J33" i="1"/>
  <c r="J36" i="1"/>
  <c r="J31" i="1"/>
  <c r="J5" i="1"/>
  <c r="J21" i="1"/>
  <c r="J16" i="1"/>
  <c r="J7" i="1"/>
  <c r="J22" i="1"/>
  <c r="J9" i="1"/>
  <c r="J23" i="1"/>
  <c r="J26" i="1"/>
  <c r="J24" i="1"/>
  <c r="J12" i="1"/>
  <c r="J10" i="1"/>
  <c r="J30" i="1"/>
  <c r="J13" i="1"/>
  <c r="J32" i="1"/>
  <c r="J15" i="1"/>
  <c r="J28" i="1"/>
  <c r="J4" i="1"/>
  <c r="J29" i="1"/>
  <c r="J2" i="1"/>
  <c r="J18" i="1"/>
  <c r="J19" i="1"/>
  <c r="J6" i="1"/>
  <c r="J27" i="1"/>
  <c r="P9" i="1"/>
  <c r="P28" i="1"/>
  <c r="P2" i="1"/>
  <c r="P6" i="1"/>
  <c r="P11" i="1"/>
  <c r="P30" i="1"/>
  <c r="P14" i="1"/>
  <c r="P22" i="1"/>
  <c r="P34" i="1"/>
  <c r="P15" i="1"/>
  <c r="P31" i="1"/>
  <c r="P26" i="1"/>
  <c r="P32" i="1"/>
  <c r="P7" i="1"/>
  <c r="P35" i="1"/>
  <c r="P23" i="1"/>
  <c r="P19" i="1"/>
  <c r="P8" i="1"/>
  <c r="P33" i="1"/>
  <c r="P10" i="1"/>
  <c r="P20" i="1"/>
  <c r="P25" i="1"/>
  <c r="P12" i="1"/>
  <c r="P24" i="1"/>
  <c r="P13" i="1"/>
  <c r="P4" i="1"/>
  <c r="P17" i="1"/>
  <c r="P18" i="1"/>
  <c r="P21" i="1"/>
  <c r="P3" i="1"/>
  <c r="P16" i="1"/>
  <c r="P27" i="1"/>
  <c r="P5" i="1"/>
  <c r="P29" i="1"/>
  <c r="C21" i="1"/>
  <c r="C3" i="1"/>
  <c r="C15" i="1"/>
  <c r="C34" i="1"/>
  <c r="C33" i="1"/>
  <c r="C10" i="1"/>
  <c r="C16" i="1"/>
  <c r="C19" i="1"/>
  <c r="C7" i="1"/>
  <c r="C6" i="1"/>
  <c r="C23" i="1"/>
  <c r="C35" i="1"/>
  <c r="C9" i="1"/>
  <c r="C28" i="1"/>
  <c r="C24" i="1"/>
  <c r="C4" i="1"/>
  <c r="C26" i="1"/>
  <c r="C32" i="1"/>
  <c r="C25" i="1"/>
  <c r="C11" i="1"/>
  <c r="C22" i="1"/>
  <c r="C18" i="1"/>
  <c r="C20" i="1"/>
  <c r="C31" i="1"/>
  <c r="C14" i="1"/>
  <c r="C13" i="1"/>
  <c r="C30" i="1"/>
  <c r="C5" i="1"/>
  <c r="C12" i="1"/>
  <c r="C27" i="1"/>
  <c r="C29" i="1"/>
  <c r="C17" i="1"/>
  <c r="C2" i="1"/>
  <c r="C8" i="1"/>
  <c r="T13" i="1"/>
  <c r="T14" i="1"/>
  <c r="T7" i="1"/>
  <c r="T18" i="1"/>
  <c r="T30" i="1"/>
  <c r="T19" i="1"/>
  <c r="T8" i="1"/>
  <c r="T35" i="1"/>
  <c r="T31" i="1"/>
  <c r="T5" i="1"/>
  <c r="T33" i="1"/>
  <c r="T3" i="1"/>
  <c r="T32" i="1"/>
  <c r="T24" i="1"/>
  <c r="T12" i="1"/>
  <c r="T2" i="1"/>
  <c r="T26" i="1"/>
  <c r="T9" i="1"/>
  <c r="T6" i="1"/>
  <c r="T27" i="1"/>
  <c r="T16" i="1"/>
  <c r="T28" i="1"/>
  <c r="T22" i="1"/>
  <c r="T17" i="1"/>
  <c r="T25" i="1"/>
  <c r="T34" i="1"/>
  <c r="T29" i="1"/>
  <c r="T11" i="1"/>
  <c r="T15" i="1"/>
  <c r="T21" i="1"/>
  <c r="T20" i="1"/>
  <c r="T4" i="1"/>
  <c r="T23" i="1"/>
  <c r="T10" i="1"/>
  <c r="AQ2" i="1"/>
  <c r="AQ3" i="1"/>
  <c r="AM3" i="1"/>
  <c r="AM2" i="1"/>
  <c r="AL33" i="1"/>
  <c r="AL26" i="1"/>
  <c r="AL7" i="1"/>
  <c r="AL19" i="1"/>
  <c r="AL13" i="1"/>
  <c r="AL11" i="1"/>
  <c r="AL23" i="1"/>
  <c r="AL27" i="1"/>
  <c r="AL31" i="1"/>
  <c r="AL4" i="1"/>
  <c r="AL8" i="1"/>
  <c r="AL12" i="1"/>
  <c r="AL32" i="1"/>
  <c r="AL20" i="1"/>
  <c r="AL24" i="1"/>
  <c r="AL28" i="1"/>
  <c r="AL2" i="1"/>
  <c r="AL29" i="1"/>
  <c r="AL9" i="1"/>
  <c r="AL14" i="1"/>
  <c r="AL25" i="1"/>
  <c r="AL6" i="1"/>
  <c r="AL17" i="1"/>
  <c r="AL34" i="1"/>
  <c r="AL5" i="1"/>
  <c r="AL3" i="1"/>
  <c r="AL22" i="1"/>
  <c r="AL16" i="1"/>
  <c r="AL30" i="1"/>
  <c r="AL18" i="1"/>
  <c r="AL15" i="1"/>
  <c r="AL10" i="1"/>
  <c r="AL21" i="1"/>
  <c r="AL35" i="1"/>
  <c r="F13" i="1"/>
  <c r="F33" i="1"/>
  <c r="F2" i="1"/>
  <c r="F27" i="1"/>
  <c r="F15" i="1"/>
  <c r="F26" i="1"/>
  <c r="F32" i="1"/>
  <c r="F8" i="1"/>
  <c r="F34" i="1"/>
  <c r="F28" i="1"/>
  <c r="F3" i="1"/>
  <c r="F20" i="1"/>
  <c r="F19" i="1"/>
  <c r="F21" i="1"/>
  <c r="F23" i="1"/>
  <c r="F22" i="1"/>
  <c r="F35" i="1"/>
  <c r="F7" i="1"/>
  <c r="F24" i="1"/>
  <c r="F25" i="1"/>
  <c r="F12" i="1"/>
  <c r="F16" i="1"/>
  <c r="F14" i="1"/>
  <c r="F31" i="1"/>
  <c r="F17" i="1"/>
  <c r="F18" i="1"/>
  <c r="F4" i="1"/>
  <c r="F30" i="1"/>
  <c r="F9" i="1"/>
  <c r="F5" i="1"/>
  <c r="F11" i="1"/>
  <c r="F6" i="1"/>
  <c r="F10" i="1"/>
  <c r="F29" i="1"/>
  <c r="D33" i="1"/>
  <c r="D31" i="1"/>
  <c r="D34" i="1"/>
  <c r="D24" i="1"/>
  <c r="D16" i="1"/>
  <c r="D2" i="1"/>
  <c r="D4" i="1"/>
  <c r="D10" i="1"/>
  <c r="D35" i="1"/>
  <c r="D13" i="1"/>
  <c r="D21" i="1"/>
  <c r="D26" i="1"/>
  <c r="D22" i="1"/>
  <c r="D28" i="1"/>
  <c r="D5" i="1"/>
  <c r="D30" i="1"/>
  <c r="D7" i="1"/>
  <c r="D29" i="1"/>
  <c r="D14" i="1"/>
  <c r="D27" i="1"/>
  <c r="D18" i="1"/>
  <c r="D19" i="1"/>
  <c r="D25" i="1"/>
  <c r="D20" i="1"/>
  <c r="D12" i="1"/>
  <c r="D6" i="1"/>
  <c r="D32" i="1"/>
  <c r="D9" i="1"/>
  <c r="D23" i="1"/>
  <c r="D3" i="1"/>
  <c r="D8" i="1"/>
  <c r="D17" i="1"/>
  <c r="D11" i="1"/>
  <c r="D15" i="1"/>
</calcChain>
</file>

<file path=xl/sharedStrings.xml><?xml version="1.0" encoding="utf-8"?>
<sst xmlns="http://schemas.openxmlformats.org/spreadsheetml/2006/main" count="561" uniqueCount="69">
  <si>
    <t>Timestamp</t>
  </si>
  <si>
    <t>ConcentrateRatio</t>
  </si>
  <si>
    <t>In.LimeFine.DM</t>
  </si>
  <si>
    <t>|System1.Lime</t>
  </si>
  <si>
    <t>System2.Lime</t>
  </si>
  <si>
    <t>T.BSSilica</t>
  </si>
  <si>
    <t>T.BSCoke</t>
  </si>
  <si>
    <t>DB.LossInWeight</t>
  </si>
  <si>
    <t>C.on.CandSi</t>
  </si>
  <si>
    <t>bin3</t>
  </si>
  <si>
    <t>xferTot.System1.East</t>
  </si>
  <si>
    <t>xferTot.System2.West</t>
  </si>
  <si>
    <t>Tot.WACS</t>
  </si>
  <si>
    <t>xferTot.System2.East</t>
  </si>
  <si>
    <t>xferTot.System1.West</t>
  </si>
  <si>
    <t>DailyPlantRecycle</t>
  </si>
  <si>
    <t>Tot.Recycle_1</t>
  </si>
  <si>
    <t>Tot.Recycle_2</t>
  </si>
  <si>
    <t>Tot.Recycle_3</t>
  </si>
  <si>
    <t>SEC.xfer.NewConc_1</t>
  </si>
  <si>
    <t>SEC.xfer.NewConc_2</t>
  </si>
  <si>
    <t>Tot.Lime_1</t>
  </si>
  <si>
    <t>Tot.Lime_2</t>
  </si>
  <si>
    <t>Tot.Lime_3</t>
  </si>
  <si>
    <t>NewConc.Tot</t>
  </si>
  <si>
    <t>Tot.BSWACS</t>
  </si>
  <si>
    <t>Tot.BSSilica</t>
  </si>
  <si>
    <t>Tot.BSCoke</t>
  </si>
  <si>
    <t>Si.on.WACS</t>
  </si>
  <si>
    <t>C.on.WACS</t>
  </si>
  <si>
    <t>BD.on.DBandWACS</t>
  </si>
  <si>
    <t>DailyCorrection.xfer</t>
  </si>
  <si>
    <t>Tot.trf_1</t>
  </si>
  <si>
    <t>MWhr.Tot_1</t>
  </si>
  <si>
    <t>MWhr.Tot_2</t>
  </si>
  <si>
    <t>Tot.trf_2</t>
  </si>
  <si>
    <t>T.BSWACS_2</t>
  </si>
  <si>
    <t>xferTot.System1.East_2</t>
  </si>
  <si>
    <t>xferTot.System1.East_3</t>
  </si>
  <si>
    <t>xferTot.System1.West_2</t>
  </si>
  <si>
    <t>xferTot.System1.West_3</t>
  </si>
  <si>
    <t>xferTot.System2.East_2</t>
  </si>
  <si>
    <t>xferTot.System2.East_3</t>
  </si>
  <si>
    <t>xferTot.System2.West_2</t>
  </si>
  <si>
    <t>Bad Total</t>
  </si>
  <si>
    <t>PI Point not found '\\wsmlpi.angloiit.net\TRF:P:494-WD-176'.</t>
  </si>
  <si>
    <t>PI Point not found '\\wsmlpi.angloiit.net\TRF:P:494-WD-207'.</t>
  </si>
  <si>
    <t>PI Point not found '\\wsmlpi.angloiit.net\TRF:P:494-WD-175'.</t>
  </si>
  <si>
    <t>Configure</t>
  </si>
  <si>
    <t>Set to Bad</t>
  </si>
  <si>
    <t>No Feed</t>
  </si>
  <si>
    <t>Calc Failed</t>
  </si>
  <si>
    <t>PI Point not found '\\wsmlpi.angloiit.net\TRF:P:494-WD-177'.</t>
  </si>
  <si>
    <t>PI Point not found '\\wsmlpi.angloiit.net\TRF:P:494-WD-201'.</t>
  </si>
  <si>
    <t>PI Point not found '\\wsmlpi.angloiit.net\TRF:P:494-WD-276'.</t>
  </si>
  <si>
    <t>PI Point not found '\\wsmlpi.angloiit.net\TRF:P:494-WD-278'.</t>
  </si>
  <si>
    <t>PI Point not found '\\wsmlpi.angloiit.net\TRF:P:494-WD-107'.</t>
  </si>
  <si>
    <t>PI Point not found '\\wsmlpi.angloiit.net\TRF:P:494-WD-275'.</t>
  </si>
  <si>
    <t>Low/No Power</t>
  </si>
  <si>
    <t>ACE_Tot_trf</t>
  </si>
  <si>
    <t>bin2</t>
  </si>
  <si>
    <t>bin4</t>
  </si>
  <si>
    <t>bin5</t>
  </si>
  <si>
    <t>bin6</t>
  </si>
  <si>
    <t>ACE_xfer_Tot</t>
  </si>
  <si>
    <t>No Data</t>
  </si>
  <si>
    <t>Error</t>
  </si>
  <si>
    <t>System1.Lime</t>
  </si>
  <si>
    <t>xferTot.System2.West.3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</si>
</sst>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36"/>
  <sheetViews>
    <sheetView topLeftCell="AP1" workbookViewId="0">
      <selection activeCell="AX1" sqref="AX1:AX1048576"/>
    </sheetView>
  </sheetViews>
  <sheetFormatPr defaultRowHeight="14.4" x14ac:dyDescent="0.3"/>
  <cols>
    <col min="1" max="1" width="25.21875" customWidth="1"/>
    <col min="2" max="2" width="15.6640625" customWidth="1"/>
    <col min="50" max="50" width="17.6640625" bestFit="1" customWidth="1"/>
  </cols>
  <sheetData>
    <row r="1" spans="1:50" x14ac:dyDescent="0.3">
      <c r="A1" s="3" t="s">
        <v>0</v>
      </c>
      <c r="B1" s="3" t="s">
        <v>64</v>
      </c>
      <c r="C1" s="3" t="s">
        <v>1</v>
      </c>
      <c r="D1" s="3" t="s">
        <v>31</v>
      </c>
      <c r="E1" s="3" t="s">
        <v>2</v>
      </c>
      <c r="F1" s="3" t="s">
        <v>3</v>
      </c>
      <c r="G1" s="3" t="s">
        <v>4</v>
      </c>
      <c r="H1" s="3" t="s">
        <v>33</v>
      </c>
      <c r="I1" s="3" t="s">
        <v>32</v>
      </c>
      <c r="J1" s="3" t="s">
        <v>34</v>
      </c>
      <c r="K1" s="3" t="s">
        <v>35</v>
      </c>
      <c r="L1" s="3" t="s">
        <v>10</v>
      </c>
      <c r="M1" s="3" t="s">
        <v>37</v>
      </c>
      <c r="N1" s="3" t="s">
        <v>38</v>
      </c>
      <c r="O1" s="3" t="s">
        <v>14</v>
      </c>
      <c r="P1" s="3" t="s">
        <v>9</v>
      </c>
      <c r="Q1" s="3" t="s">
        <v>8</v>
      </c>
      <c r="R1" s="3" t="s">
        <v>7</v>
      </c>
      <c r="S1" s="3" t="s">
        <v>6</v>
      </c>
      <c r="T1" s="3" t="s">
        <v>5</v>
      </c>
      <c r="U1" s="3" t="s">
        <v>36</v>
      </c>
      <c r="V1" s="3" t="s">
        <v>12</v>
      </c>
      <c r="W1" s="3" t="s">
        <v>15</v>
      </c>
      <c r="X1" s="3" t="s">
        <v>16</v>
      </c>
      <c r="Y1" s="3" t="s">
        <v>17</v>
      </c>
      <c r="Z1" s="3" t="s">
        <v>18</v>
      </c>
      <c r="AA1" s="3" t="s">
        <v>19</v>
      </c>
      <c r="AB1" s="3" t="s">
        <v>20</v>
      </c>
      <c r="AC1" s="3" t="s">
        <v>21</v>
      </c>
      <c r="AD1" s="3" t="s">
        <v>22</v>
      </c>
      <c r="AE1" s="3" t="s">
        <v>23</v>
      </c>
      <c r="AF1" s="3" t="s">
        <v>24</v>
      </c>
      <c r="AG1" s="3" t="s">
        <v>25</v>
      </c>
      <c r="AH1" s="3" t="s">
        <v>26</v>
      </c>
      <c r="AI1" s="3" t="s">
        <v>27</v>
      </c>
      <c r="AJ1" s="3" t="s">
        <v>28</v>
      </c>
      <c r="AK1" s="3" t="s">
        <v>29</v>
      </c>
      <c r="AL1" s="3" t="s">
        <v>30</v>
      </c>
      <c r="AM1" s="3" t="s">
        <v>39</v>
      </c>
      <c r="AN1" s="3" t="s">
        <v>40</v>
      </c>
      <c r="AO1" s="3" t="s">
        <v>13</v>
      </c>
      <c r="AP1" s="3" t="s">
        <v>41</v>
      </c>
      <c r="AQ1" s="3" t="s">
        <v>42</v>
      </c>
      <c r="AR1" s="3" t="s">
        <v>11</v>
      </c>
      <c r="AS1" s="3" t="s">
        <v>43</v>
      </c>
      <c r="AT1" s="2" t="s">
        <v>60</v>
      </c>
      <c r="AU1" s="2" t="s">
        <v>61</v>
      </c>
      <c r="AV1" s="2" t="s">
        <v>62</v>
      </c>
      <c r="AW1" s="2" t="s">
        <v>63</v>
      </c>
      <c r="AX1" s="2" t="s">
        <v>59</v>
      </c>
    </row>
    <row r="2" spans="1:50" x14ac:dyDescent="0.3">
      <c r="A2" s="1" t="e">
        <f t="array" aca="1" ref="A2:B36" ca="1">_xll.PISampDat("xfer.Tot","*-1month-2day-32h-90m","*","1d",1,"\\wsmlmes\DDMS_Dev\Calculations\Calculations\DailyCalcs\Feed")</f>
        <v>#NAME?</v>
      </c>
      <c r="B2" t="e">
        <f ca="1"/>
        <v>#NAME?</v>
      </c>
      <c r="C2" t="e">
        <f t="array" aca="1" ref="C2:C35" ca="1">_xll.PISampDat("ConcentrateRatio","*-1month-2day-13h","*","1d",0,"\\wsmlmes\DDMS_Dev\Calculations\Calculations\DailyCalcs\Feed")</f>
        <v>#NAME?</v>
      </c>
      <c r="D2" t="e">
        <f t="array" aca="1" ref="D2:D35" ca="1">_xll.PISampDat("DailyCorrection.xfer","*-1month-2day-13h","*","1d",0,"\\wsmlmes\DDMS_Dev\Calculations\Calculations\DailyCalcs\Feed")</f>
        <v>#NAME?</v>
      </c>
      <c r="E2" t="e">
        <f t="array" aca="1" ref="E2:E35" ca="1">_xll.PISampDat("In.LimeFine.DM","*-1month-2day-13h","*","1d",0,"\\wsmlmes\DDMS_Dev\Calculations\Calculations\DailyCalcs\Feed")</f>
        <v>#NAME?</v>
      </c>
      <c r="F2" t="e">
        <f t="array" aca="1" ref="F2:F35" ca="1">_xll.PISampDat("System1.Lime","*-1month-2day-13h","*","1d",0,"\\wsmlmes\DDMS_Dev\Calculations\Calculations\DailyCalcs\Feed")</f>
        <v>#NAME?</v>
      </c>
      <c r="G2" t="e">
        <f t="array" aca="1" ref="G2:G35" ca="1">_xll.PISampDat("System2.Lime","*-1month-2day-13h","*","1d",0,"\\wsmlmes\DDMS_Dev\Calculations\Calculations\DailyCalcs\Feed")</f>
        <v>#NAME?</v>
      </c>
      <c r="H2" t="e">
        <f t="array" aca="1" ref="H2:H36" ca="1">_xll.PISampDat("MWhr.Tot","*-1month-2day-32h-40m","*","1d",0,"\\wsmlmes\DDMS_Dev\Calculations\Calculations\DailyCalcs\Feed|FCE1")</f>
        <v>#NAME?</v>
      </c>
      <c r="I2" t="e">
        <f t="array" aca="1" ref="I2:I36" ca="1">_xll.PISampDat("Tot.trf","*-1month-2day-32h-40m","*","1d",0,"\\wsmlmes\DDMS_Dev\Calculations\Calculations\DailyCalcs\Feed|FCE1_out")</f>
        <v>#NAME?</v>
      </c>
      <c r="J2" t="e">
        <f t="array" aca="1" ref="J2:J36" ca="1">_xll.PISampDat("MWhr.Tot","*-1month-2day-32h-40m","*","1d",0,"\\wsmlmes\DDMS_Dev\Calculations\Calculations\DailyCalcs\Feed|FCE2")</f>
        <v>#NAME?</v>
      </c>
      <c r="K2" t="e">
        <f t="array" aca="1" ref="K2:K36" ca="1">_xll.PISampDat("Tot.trf","*-1month-2day-32h-40m","*","1d",0,"\\wsmlmes\DDMS_Dev\Calculations\Calculations\DailyCalcs\Feed|FCE2_out")</f>
        <v>#NAME?</v>
      </c>
      <c r="L2" t="e">
        <f t="array" aca="1" ref="L2:L3" ca="1">_xll.PISampDat("xferTot.System1.East","*-1month-2day-13h","*","1d",0,"\\wsmlmes\DDMS_Dev\Calculations\Calculations\DailyCalcs\Feed|FCE1")</f>
        <v>#NAME?</v>
      </c>
      <c r="M2" t="e">
        <f t="array" aca="1" ref="M2:M3" ca="1">_xll.PISampDat("xferTot.System1.East","*-1month-2day-13h","*","1d",0,"\\wsmlmes\DDMS_Dev\Calculations\Calculations\DailyCalcs\Feed|FCE1")</f>
        <v>#NAME?</v>
      </c>
      <c r="N2" t="e">
        <f t="array" aca="1" ref="N2:N3" ca="1">_xll.PISampDat("\\wsmlmes\WSML\Calculations\Calculations\DailyCalcs\Feed|SCF|xferTot.System1.East","*-1month","*","1d",0,"")</f>
        <v>#NAME?</v>
      </c>
      <c r="O2" t="e">
        <f t="array" aca="1" ref="O2:O3" ca="1">_xll.PISampDat("\\wsmlmes\WSML\Calculations\Calculations\DailyCalcs\Feed|FCE1|xferTot.System1.West","*-1month","*","1d",0,"")</f>
        <v>#NAME?</v>
      </c>
      <c r="P2" t="e">
        <f t="array" aca="1" ref="P2:P35" ca="1">_xll.PISampDat("bin3","*-1month-2day-13h","*","1d",0,"\\wsmlmes\DDMS_Dev\Calculations\Calculations\DailyCalcs\Feed|SCF")</f>
        <v>#NAME?</v>
      </c>
      <c r="Q2" t="e">
        <f t="array" aca="1" ref="Q2:Q35" ca="1">_xll.PISampDat("C.on.CandSi","*-1month-2day-13h","*","1d",0,"\\wsmlmes\DDMS_Dev\Calculations\Calculations\DailyCalcs\Feed|SCF")</f>
        <v>#NAME?</v>
      </c>
      <c r="R2" t="e">
        <f t="array" aca="1" ref="R2:R35" ca="1">_xll.PISampDat("DB.LossInWeight","*-1month-2day-13h","*","1d",0,"\\wsmlmes\DDMS_Dev\Calculations\Calculations\DailyCalcs\Feed|SCF")</f>
        <v>#NAME?</v>
      </c>
      <c r="S2" t="e">
        <f t="array" aca="1" ref="S2:S35" ca="1">_xll.PISampDat("T.BSCoke","*-1month-2day-13h","*","1d",0,"\\wsmlmes\DDMS_Dev\Calculations\Calculations\DailyCalcs\Feed|SCF")</f>
        <v>#NAME?</v>
      </c>
      <c r="T2" t="e">
        <f t="array" aca="1" ref="T2:T35" ca="1">_xll.PISampDat("T.BSSilica","*-1month-2day-13h","*","1d",0,"\\wsmlmes\DDMS_Dev\Calculations\Calculations\DailyCalcs\Feed|SCF")</f>
        <v>#NAME?</v>
      </c>
      <c r="U2" t="e">
        <f t="array" aca="1" ref="U2:U35" ca="1">_xll.PISampDat("T.BSWACS","*-1month-2day-13h","*","1d",0,"\\wsmlmes\DDMS_Dev\Calculations\Calculations\DailyCalcs\Feed|SCF")</f>
        <v>#NAME?</v>
      </c>
      <c r="V2" t="e">
        <f t="array" aca="1" ref="V2:V36" ca="1">_xll.PISampDat("Tot.WACS","*-1month-2day-32h-40m","*","1d",0,"\\wsmlmes\DDMS_Dev\Calculations\Calculations\DailyCalcs\Feed|SCF")</f>
        <v>#NAME?</v>
      </c>
      <c r="W2" t="e">
        <f t="array" aca="1" ref="W2:W36" ca="1">_xll.PISampDat("DailyPlantRecycle","*-1month-2day-32h-40m","*","1d",0,"\\wsmlmes\DDMS_Dev\Calculations\Calculations\DailyCalcs\Feed")</f>
        <v>#NAME?</v>
      </c>
      <c r="X2" t="e">
        <f t="array" aca="1" ref="X2:X36" ca="1">_xll.PISampDat("Tot.Recycle","*-1month-2day-32h-40m","*","1d",0,"\\wsmlmes\DDMS_Dev\Calculations\Calculations\DailyCalcs\Feed|FCE1_out")</f>
        <v>#NAME?</v>
      </c>
      <c r="Y2" t="e">
        <f t="array" aca="1" ref="Y2:Y36" ca="1">_xll.PISampDat("Tot.Recycle","*-1month-2day-32h-40m","*","1d",0,"\\wsmlmes\DDMS_Dev\Calculations\Calculations\DailyCalcs\Feed|FCE2_out")</f>
        <v>#NAME?</v>
      </c>
      <c r="Z2" t="e">
        <f t="array" aca="1" ref="Z2:Z36" ca="1">_xll.PISampDat("Tot.Recycle","*-1month-2day-32h-40m","*","1d",0,"\\wsmlmes\DDMS_Dev\Calculations\Calculations\DailyCalcs\Feed|SCF_out")</f>
        <v>#NAME?</v>
      </c>
      <c r="AA2" t="e">
        <f t="array" aca="1" ref="AA2:AA36" ca="1">_xll.PISampDat("SEC.xfer.NewConc","*-1month-2day-32h-40m","*","1d",0,"\\wsmlmes\DDMS_Dev\Calculations\Calculations\DailyCalcs\Feed|FCE1_out")</f>
        <v>#NAME?</v>
      </c>
      <c r="AB2" t="e">
        <f t="array" aca="1" ref="AB2:AB36" ca="1">_xll.PISampDat("SEC.xfer.NewConc","*-1month-2day-32h-40m","*","1d",0,"\\wsmlmes\DDMS_Dev\Calculations\Calculations\DailyCalcs\Feed|FCE2_out")</f>
        <v>#NAME?</v>
      </c>
      <c r="AC2" t="e">
        <f t="array" aca="1" ref="AC2:AC35" ca="1">_xll.PISampDat("Tot.Lime","*-1month-2day-13h","*","1d",0,"\\wsmlmes\DDMS_Dev\Calculations\Calculations\DailyCalcs\Feed|FCE1_out")</f>
        <v>#NAME?</v>
      </c>
      <c r="AD2" t="e">
        <f t="array" aca="1" ref="AD2:AD35" ca="1">_xll.PISampDat("Tot.Lime","*-1month-2day-13h","*","1d",0,"\\wsmlmes\DDMS_Dev\Calculations\Calculations\DailyCalcs\Feed|FCE2_out")</f>
        <v>#NAME?</v>
      </c>
      <c r="AE2" t="e">
        <f t="array" aca="1" ref="AE2:AE35" ca="1">_xll.PISampDat("Tot.Lime","*-1month-2day-13h","*","1d",0,"\\wsmlmes\DDMS_Dev\Calculations\Calculations\DailyCalcs\Feed|SCF_out")</f>
        <v>#NAME?</v>
      </c>
      <c r="AF2" t="e">
        <f t="array" aca="1" ref="AF2:AF36" ca="1">_xll.PISampDat("NewConc.Tot","*-1month-2day-32h-40m","*","1d",0,"\\wsmlmes\DDMS_Dev\Calculations\Calculations\DailyCalcs\Feed")</f>
        <v>#NAME?</v>
      </c>
      <c r="AG2" t="e">
        <f t="array" aca="1" ref="AG2:AG35" ca="1">_xll.PISampDat("Tot.BSWACS","*-1month-2day-13h","*","1d",0,"\\wsmlmes\DDMS_Dev\Calculations\Calculations\DailyCalcs\Feed|SCF_out")</f>
        <v>#NAME?</v>
      </c>
      <c r="AH2" t="e">
        <f t="array" aca="1" ref="AH2:AH35" ca="1">_xll.PISampDat("Tot.BSSilica","*-1month-2day-13h","*","1d",0,"\\wsmlmes\DDMS_Dev\Calculations\Calculations\DailyCalcs\Feed|SCF_out")</f>
        <v>#NAME?</v>
      </c>
      <c r="AI2" t="e">
        <f t="array" aca="1" ref="AI2:AI35" ca="1">_xll.PISampDat("Tot.BSCoke","*-1month-2day-13h","*","1d",0,"\\wsmlmes\DDMS_Dev\Calculations\Calculations\DailyCalcs\Feed|SCF_out")</f>
        <v>#NAME?</v>
      </c>
      <c r="AJ2" t="e">
        <f t="array" aca="1" ref="AJ2:AJ35" ca="1">_xll.PISampDat("Si.on.WACS","*-1month-2day-13h","*","1d",0,"\\wsmlmes\DDMS_Dev\Calculations\Calculations\DailyCalcs\Feed|SCF_out")</f>
        <v>#NAME?</v>
      </c>
      <c r="AK2" t="e">
        <f t="array" aca="1" ref="AK2:AK35" ca="1">_xll.PISampDat("C.on.WACS","*-1month-2day-13h","*","1d",0,"\\wsmlmes\DDMS_Dev\Calculations\Calculations\DailyCalcs\Feed|SCF_out")</f>
        <v>#NAME?</v>
      </c>
      <c r="AL2" t="e">
        <f t="array" aca="1" ref="AL2:AL35" ca="1">_xll.PISampDat("BD.on.DBandWACS","*-1month-2day-13h","*","1d",0,"\\wsmlmes\DDMS_Dev\Calculations\Calculations\DailyCalcs\Feed|SCF_out")</f>
        <v>#NAME?</v>
      </c>
      <c r="AM2" t="e">
        <f t="array" aca="1" ref="AM2:AM3" ca="1">_xll.PISampDat("xferTot.System1.West","*-1month-2day-13h","*","1d",0,"\\wsmlmes\DDMS_Dev\Calculations\Calculations\DailyCalcs\Feed|FCE2")</f>
        <v>#NAME?</v>
      </c>
      <c r="AN2" t="e">
        <f t="array" aca="1" ref="AN2:AN3" ca="1">_xll.PISampDat("\\wsmlmes\WSML\Calculations\Calculations\DailyCalcs\Feed|SCF|xferTot.System1.West","*-1month","*","1d",0,"")</f>
        <v>#NAME?</v>
      </c>
      <c r="AO2" t="e">
        <f t="array" aca="1" ref="AO2:AO3" ca="1">_xll.PISampDat("\\wsmlmes\WSML\Calculations\Calculations\DailyCalcs\Feed|FCE1|xferTot.System2.East","*-1month","*","1d",0,"")</f>
        <v>#NAME?</v>
      </c>
      <c r="AP2" t="e">
        <f t="array" aca="1" ref="AP2:AP3" ca="1">_xll.PISampDat("\\wsmlmes\WSML\Calculations\Calculations\DailyCalcs\Feed|FCE2|xferTot.System2.East","*-1month","*","1d",0,"")</f>
        <v>#NAME?</v>
      </c>
      <c r="AQ2" t="e">
        <f t="array" aca="1" ref="AQ2:AQ3" ca="1">_xll.PISampDat("\\wsmlmes\WSML\Calculations\Calculations\DailyCalcs\Feed|SCF|xferTot.System2.East","*-1month","*","1d",0,"")</f>
        <v>#NAME?</v>
      </c>
      <c r="AR2" t="e">
        <f t="array" aca="1" ref="AR2:AR3" ca="1">_xll.PISampDat("\\wsmlmes\WSML\Calculations\Calculations\DailyCalcs\Feed|FCE1|xferTot.System2.West","*-1month","*","1d",0,"")</f>
        <v>#NAME?</v>
      </c>
      <c r="AS2" t="e">
        <f t="array" aca="1" ref="AS2:AS3" ca="1">_xll.PISampDat("\\wsmlmes\WSML\Calculations\Calculations\DailyCalcs\Feed|FCE1|xferTot.System2.West","*-1month","*","1d",0,"")</f>
        <v>#NAME?</v>
      </c>
      <c r="AT2" t="e">
        <f t="array" aca="1" ref="AT2:AT35" ca="1">_xll.PISampDat("bin2","*-1month-2day-13h","*","1d",0,"\\wsmlmes\DDMS_Dev\Calculations\Calculations\DailyCalcs\Feed|SCF")</f>
        <v>#NAME?</v>
      </c>
      <c r="AU2" t="e">
        <f t="array" aca="1" ref="AU2:AU35" ca="1">_xll.PISampDat("\\wsmlmes\WSML\Calculations\Calculations\DailyCalcs\Feed|SCF|bin4","*-1month-2day-13h","*","1d",0,"")</f>
        <v>#NAME?</v>
      </c>
      <c r="AV2" t="e">
        <f t="array" aca="1" ref="AV2:AV35" ca="1">_xll.PISampDat("\\wsmlmes\WSML\Calculations\Calculations\DailyCalcs\Feed|SCF|bin5","*-1month-2day-13h","*","1d",0,"")</f>
        <v>#NAME?</v>
      </c>
      <c r="AW2" t="e">
        <f t="array" aca="1" ref="AW2:AW35" ca="1">_xll.PISampDat("\\wsmlmes\WSML\Calculations\Calculations\DailyCalcs\Feed|SCF|bin6","*-1month-2day-13h","*","1d",0,"")</f>
        <v>#NAME?</v>
      </c>
      <c r="AX2" t="e">
        <f t="array" aca="1" ref="AX2:AX36" ca="1">_xll.PISampDat("Tot.trf","*-1month-2day-32h-40m","*","1d",0,"\\wsmlmes\DDMS_Dev\Calculations\Calculations\DailyCalcs\Feed|SCF")</f>
        <v>#NAME?</v>
      </c>
    </row>
    <row r="3" spans="1:50" x14ac:dyDescent="0.3">
      <c r="A3" s="1" t="e">
        <f ca="1"/>
        <v>#NAME?</v>
      </c>
      <c r="B3" t="e">
        <f ca="1"/>
        <v>#NAME?</v>
      </c>
      <c r="C3" t="e">
        <f ca="1"/>
        <v>#NAME?</v>
      </c>
      <c r="D3" t="e">
        <f ca="1"/>
        <v>#NAME?</v>
      </c>
      <c r="E3" t="e">
        <f ca="1"/>
        <v>#NAME?</v>
      </c>
      <c r="F3" t="e">
        <f ca="1"/>
        <v>#NAME?</v>
      </c>
      <c r="G3" t="e">
        <f ca="1"/>
        <v>#NAME?</v>
      </c>
      <c r="H3" t="e">
        <f ca="1"/>
        <v>#NAME?</v>
      </c>
      <c r="I3" t="e">
        <f ca="1"/>
        <v>#NAME?</v>
      </c>
      <c r="J3" t="e">
        <f ca="1"/>
        <v>#NAME?</v>
      </c>
      <c r="K3" t="e">
        <f ca="1"/>
        <v>#NAME?</v>
      </c>
      <c r="L3" t="e">
        <f ca="1"/>
        <v>#NAME?</v>
      </c>
      <c r="M3" t="e">
        <f ca="1"/>
        <v>#NAME?</v>
      </c>
      <c r="N3" t="e">
        <f ca="1"/>
        <v>#NAME?</v>
      </c>
      <c r="O3" t="e">
        <f ca="1"/>
        <v>#NAME?</v>
      </c>
      <c r="P3" t="e">
        <f ca="1"/>
        <v>#NAME?</v>
      </c>
      <c r="Q3" t="e">
        <f ca="1"/>
        <v>#NAME?</v>
      </c>
      <c r="R3" t="e">
        <f ca="1"/>
        <v>#NAME?</v>
      </c>
      <c r="S3" t="e">
        <f ca="1"/>
        <v>#NAME?</v>
      </c>
      <c r="T3" t="e">
        <f ca="1"/>
        <v>#NAME?</v>
      </c>
      <c r="U3" t="e">
        <f ca="1"/>
        <v>#NAME?</v>
      </c>
      <c r="V3" t="e">
        <f ca="1"/>
        <v>#NAME?</v>
      </c>
      <c r="W3" t="e">
        <f ca="1"/>
        <v>#NAME?</v>
      </c>
      <c r="X3" t="e">
        <f ca="1"/>
        <v>#NAME?</v>
      </c>
      <c r="Y3" t="e">
        <f ca="1"/>
        <v>#NAME?</v>
      </c>
      <c r="Z3" t="e">
        <f ca="1"/>
        <v>#NAME?</v>
      </c>
      <c r="AA3" t="e">
        <f ca="1"/>
        <v>#NAME?</v>
      </c>
      <c r="AB3" t="e">
        <f ca="1"/>
        <v>#NAME?</v>
      </c>
      <c r="AC3" t="e">
        <f ca="1"/>
        <v>#NAME?</v>
      </c>
      <c r="AD3" t="e">
        <f ca="1"/>
        <v>#NAME?</v>
      </c>
      <c r="AE3" t="e">
        <f ca="1"/>
        <v>#NAME?</v>
      </c>
      <c r="AF3" t="e">
        <f ca="1"/>
        <v>#NAME?</v>
      </c>
      <c r="AG3" t="e">
        <f ca="1"/>
        <v>#NAME?</v>
      </c>
      <c r="AH3" t="e">
        <f ca="1"/>
        <v>#NAME?</v>
      </c>
      <c r="AI3" t="e">
        <f ca="1"/>
        <v>#NAME?</v>
      </c>
      <c r="AJ3" t="e">
        <f ca="1"/>
        <v>#NAME?</v>
      </c>
      <c r="AK3" t="e">
        <f ca="1"/>
        <v>#NAME?</v>
      </c>
      <c r="AL3" t="e">
        <f ca="1"/>
        <v>#NAME?</v>
      </c>
      <c r="AM3" t="e">
        <f ca="1"/>
        <v>#NAME?</v>
      </c>
      <c r="AN3" t="e">
        <f ca="1"/>
        <v>#NAME?</v>
      </c>
      <c r="AO3" t="e">
        <f ca="1"/>
        <v>#NAME?</v>
      </c>
      <c r="AP3" t="e">
        <f ca="1"/>
        <v>#NAME?</v>
      </c>
      <c r="AQ3" t="e">
        <f ca="1"/>
        <v>#NAME?</v>
      </c>
      <c r="AR3" t="e">
        <f ca="1"/>
        <v>#NAME?</v>
      </c>
      <c r="AS3" t="e">
        <f ca="1"/>
        <v>#NAME?</v>
      </c>
      <c r="AT3" t="e">
        <f ca="1"/>
        <v>#NAME?</v>
      </c>
      <c r="AU3" t="e">
        <f ca="1"/>
        <v>#NAME?</v>
      </c>
      <c r="AV3" t="e">
        <f ca="1"/>
        <v>#NAME?</v>
      </c>
      <c r="AW3" t="e">
        <f ca="1"/>
        <v>#NAME?</v>
      </c>
      <c r="AX3" t="e">
        <f ca="1"/>
        <v>#NAME?</v>
      </c>
    </row>
    <row r="4" spans="1:50" x14ac:dyDescent="0.3">
      <c r="A4" s="1" t="e">
        <f ca="1"/>
        <v>#NAME?</v>
      </c>
      <c r="B4" t="e">
        <f ca="1"/>
        <v>#NAME?</v>
      </c>
      <c r="C4" t="e">
        <f ca="1"/>
        <v>#NAME?</v>
      </c>
      <c r="D4" t="e">
        <f ca="1"/>
        <v>#NAME?</v>
      </c>
      <c r="E4" t="e">
        <f ca="1"/>
        <v>#NAME?</v>
      </c>
      <c r="F4" t="e">
        <f ca="1"/>
        <v>#NAME?</v>
      </c>
      <c r="G4" t="e">
        <f ca="1"/>
        <v>#NAME?</v>
      </c>
      <c r="H4" t="e">
        <f ca="1"/>
        <v>#NAME?</v>
      </c>
      <c r="I4" t="e">
        <f ca="1"/>
        <v>#NAME?</v>
      </c>
      <c r="J4" t="e">
        <f ca="1"/>
        <v>#NAME?</v>
      </c>
      <c r="K4" t="e">
        <f ca="1"/>
        <v>#NAME?</v>
      </c>
      <c r="P4" t="e">
        <f ca="1"/>
        <v>#NAME?</v>
      </c>
      <c r="Q4" t="e">
        <f ca="1"/>
        <v>#NAME?</v>
      </c>
      <c r="R4" t="e">
        <f ca="1"/>
        <v>#NAME?</v>
      </c>
      <c r="S4" t="e">
        <f ca="1"/>
        <v>#NAME?</v>
      </c>
      <c r="T4" t="e">
        <f ca="1"/>
        <v>#NAME?</v>
      </c>
      <c r="U4" t="e">
        <f ca="1"/>
        <v>#NAME?</v>
      </c>
      <c r="V4" t="e">
        <f ca="1"/>
        <v>#NAME?</v>
      </c>
      <c r="W4" t="e">
        <f ca="1"/>
        <v>#NAME?</v>
      </c>
      <c r="X4" t="e">
        <f ca="1"/>
        <v>#NAME?</v>
      </c>
      <c r="Y4" t="e">
        <f ca="1"/>
        <v>#NAME?</v>
      </c>
      <c r="Z4" t="e">
        <f ca="1"/>
        <v>#NAME?</v>
      </c>
      <c r="AA4" t="e">
        <f ca="1"/>
        <v>#NAME?</v>
      </c>
      <c r="AB4" t="e">
        <f ca="1"/>
        <v>#NAME?</v>
      </c>
      <c r="AC4" t="e">
        <f ca="1"/>
        <v>#NAME?</v>
      </c>
      <c r="AD4" t="e">
        <f ca="1"/>
        <v>#NAME?</v>
      </c>
      <c r="AE4" t="e">
        <f ca="1"/>
        <v>#NAME?</v>
      </c>
      <c r="AF4" t="e">
        <f ca="1"/>
        <v>#NAME?</v>
      </c>
      <c r="AG4" t="e">
        <f ca="1"/>
        <v>#NAME?</v>
      </c>
      <c r="AH4" t="e">
        <f ca="1"/>
        <v>#NAME?</v>
      </c>
      <c r="AI4" t="e">
        <f ca="1"/>
        <v>#NAME?</v>
      </c>
      <c r="AJ4" t="e">
        <f ca="1"/>
        <v>#NAME?</v>
      </c>
      <c r="AK4" t="e">
        <f ca="1"/>
        <v>#NAME?</v>
      </c>
      <c r="AL4" t="e">
        <f ca="1"/>
        <v>#NAME?</v>
      </c>
      <c r="AT4" t="e">
        <f ca="1"/>
        <v>#NAME?</v>
      </c>
      <c r="AU4" t="e">
        <f ca="1"/>
        <v>#NAME?</v>
      </c>
      <c r="AV4" t="e">
        <f ca="1"/>
        <v>#NAME?</v>
      </c>
      <c r="AW4" t="e">
        <f ca="1"/>
        <v>#NAME?</v>
      </c>
      <c r="AX4" t="e">
        <f ca="1"/>
        <v>#NAME?</v>
      </c>
    </row>
    <row r="5" spans="1:50" x14ac:dyDescent="0.3">
      <c r="A5" s="1" t="e">
        <f ca="1"/>
        <v>#NAME?</v>
      </c>
      <c r="B5" t="e">
        <f ca="1"/>
        <v>#NAME?</v>
      </c>
      <c r="C5" t="e">
        <f ca="1"/>
        <v>#NAME?</v>
      </c>
      <c r="D5" t="e">
        <f ca="1"/>
        <v>#NAME?</v>
      </c>
      <c r="E5" t="e">
        <f ca="1"/>
        <v>#NAME?</v>
      </c>
      <c r="F5" t="e">
        <f ca="1"/>
        <v>#NAME?</v>
      </c>
      <c r="G5" t="e">
        <f ca="1"/>
        <v>#NAME?</v>
      </c>
      <c r="H5" t="e">
        <f ca="1"/>
        <v>#NAME?</v>
      </c>
      <c r="I5" t="e">
        <f ca="1"/>
        <v>#NAME?</v>
      </c>
      <c r="J5" t="e">
        <f ca="1"/>
        <v>#NAME?</v>
      </c>
      <c r="K5" t="e">
        <f ca="1"/>
        <v>#NAME?</v>
      </c>
      <c r="P5" t="e">
        <f ca="1"/>
        <v>#NAME?</v>
      </c>
      <c r="Q5" t="e">
        <f ca="1"/>
        <v>#NAME?</v>
      </c>
      <c r="R5" t="e">
        <f ca="1"/>
        <v>#NAME?</v>
      </c>
      <c r="S5" t="e">
        <f ca="1"/>
        <v>#NAME?</v>
      </c>
      <c r="T5" t="e">
        <f ca="1"/>
        <v>#NAME?</v>
      </c>
      <c r="U5" t="e">
        <f ca="1"/>
        <v>#NAME?</v>
      </c>
      <c r="V5" t="e">
        <f ca="1"/>
        <v>#NAME?</v>
      </c>
      <c r="W5" t="e">
        <f ca="1"/>
        <v>#NAME?</v>
      </c>
      <c r="X5" t="e">
        <f ca="1"/>
        <v>#NAME?</v>
      </c>
      <c r="Y5" t="e">
        <f ca="1"/>
        <v>#NAME?</v>
      </c>
      <c r="Z5" t="e">
        <f ca="1"/>
        <v>#NAME?</v>
      </c>
      <c r="AA5" t="e">
        <f ca="1"/>
        <v>#NAME?</v>
      </c>
      <c r="AB5" t="e">
        <f ca="1"/>
        <v>#NAME?</v>
      </c>
      <c r="AC5" t="e">
        <f ca="1"/>
        <v>#NAME?</v>
      </c>
      <c r="AD5" t="e">
        <f ca="1"/>
        <v>#NAME?</v>
      </c>
      <c r="AE5" t="e">
        <f ca="1"/>
        <v>#NAME?</v>
      </c>
      <c r="AF5" t="e">
        <f ca="1"/>
        <v>#NAME?</v>
      </c>
      <c r="AG5" t="e">
        <f ca="1"/>
        <v>#NAME?</v>
      </c>
      <c r="AH5" t="e">
        <f ca="1"/>
        <v>#NAME?</v>
      </c>
      <c r="AI5" t="e">
        <f ca="1"/>
        <v>#NAME?</v>
      </c>
      <c r="AJ5" t="e">
        <f ca="1"/>
        <v>#NAME?</v>
      </c>
      <c r="AK5" t="e">
        <f ca="1"/>
        <v>#NAME?</v>
      </c>
      <c r="AL5" t="e">
        <f ca="1"/>
        <v>#NAME?</v>
      </c>
      <c r="AT5" t="e">
        <f ca="1"/>
        <v>#NAME?</v>
      </c>
      <c r="AU5" t="e">
        <f ca="1"/>
        <v>#NAME?</v>
      </c>
      <c r="AV5" t="e">
        <f ca="1"/>
        <v>#NAME?</v>
      </c>
      <c r="AW5" t="e">
        <f ca="1"/>
        <v>#NAME?</v>
      </c>
      <c r="AX5" t="e">
        <f ca="1"/>
        <v>#NAME?</v>
      </c>
    </row>
    <row r="6" spans="1:50" x14ac:dyDescent="0.3">
      <c r="A6" s="1" t="e">
        <f ca="1"/>
        <v>#NAME?</v>
      </c>
      <c r="B6" t="e">
        <f ca="1"/>
        <v>#NAME?</v>
      </c>
      <c r="C6" t="e">
        <f ca="1"/>
        <v>#NAME?</v>
      </c>
      <c r="D6" t="e">
        <f ca="1"/>
        <v>#NAME?</v>
      </c>
      <c r="E6" t="e">
        <f ca="1"/>
        <v>#NAME?</v>
      </c>
      <c r="F6" t="e">
        <f ca="1"/>
        <v>#NAME?</v>
      </c>
      <c r="G6" t="e">
        <f ca="1"/>
        <v>#NAME?</v>
      </c>
      <c r="H6" t="e">
        <f ca="1"/>
        <v>#NAME?</v>
      </c>
      <c r="I6" t="e">
        <f ca="1"/>
        <v>#NAME?</v>
      </c>
      <c r="J6" t="e">
        <f ca="1"/>
        <v>#NAME?</v>
      </c>
      <c r="K6" t="e">
        <f ca="1"/>
        <v>#NAME?</v>
      </c>
      <c r="P6" t="e">
        <f ca="1"/>
        <v>#NAME?</v>
      </c>
      <c r="Q6" t="e">
        <f ca="1"/>
        <v>#NAME?</v>
      </c>
      <c r="R6" t="e">
        <f ca="1"/>
        <v>#NAME?</v>
      </c>
      <c r="S6" t="e">
        <f ca="1"/>
        <v>#NAME?</v>
      </c>
      <c r="T6" t="e">
        <f ca="1"/>
        <v>#NAME?</v>
      </c>
      <c r="U6" t="e">
        <f ca="1"/>
        <v>#NAME?</v>
      </c>
      <c r="V6" t="e">
        <f ca="1"/>
        <v>#NAME?</v>
      </c>
      <c r="W6" t="e">
        <f ca="1"/>
        <v>#NAME?</v>
      </c>
      <c r="X6" t="e">
        <f ca="1"/>
        <v>#NAME?</v>
      </c>
      <c r="Y6" t="e">
        <f ca="1"/>
        <v>#NAME?</v>
      </c>
      <c r="Z6" t="e">
        <f ca="1"/>
        <v>#NAME?</v>
      </c>
      <c r="AA6" t="e">
        <f ca="1"/>
        <v>#NAME?</v>
      </c>
      <c r="AB6" t="e">
        <f ca="1"/>
        <v>#NAME?</v>
      </c>
      <c r="AC6" t="e">
        <f ca="1"/>
        <v>#NAME?</v>
      </c>
      <c r="AD6" t="e">
        <f ca="1"/>
        <v>#NAME?</v>
      </c>
      <c r="AE6" t="e">
        <f ca="1"/>
        <v>#NAME?</v>
      </c>
      <c r="AF6" t="e">
        <f ca="1"/>
        <v>#NAME?</v>
      </c>
      <c r="AG6" t="e">
        <f ca="1"/>
        <v>#NAME?</v>
      </c>
      <c r="AH6" t="e">
        <f ca="1"/>
        <v>#NAME?</v>
      </c>
      <c r="AI6" t="e">
        <f ca="1"/>
        <v>#NAME?</v>
      </c>
      <c r="AJ6" t="e">
        <f ca="1"/>
        <v>#NAME?</v>
      </c>
      <c r="AK6" t="e">
        <f ca="1"/>
        <v>#NAME?</v>
      </c>
      <c r="AL6" t="e">
        <f ca="1"/>
        <v>#NAME?</v>
      </c>
      <c r="AT6" t="e">
        <f ca="1"/>
        <v>#NAME?</v>
      </c>
      <c r="AU6" t="e">
        <f ca="1"/>
        <v>#NAME?</v>
      </c>
      <c r="AV6" t="e">
        <f ca="1"/>
        <v>#NAME?</v>
      </c>
      <c r="AW6" t="e">
        <f ca="1"/>
        <v>#NAME?</v>
      </c>
      <c r="AX6" t="e">
        <f ca="1"/>
        <v>#NAME?</v>
      </c>
    </row>
    <row r="7" spans="1:50" x14ac:dyDescent="0.3">
      <c r="A7" s="1" t="e">
        <f ca="1"/>
        <v>#NAME?</v>
      </c>
      <c r="B7" t="e">
        <f ca="1"/>
        <v>#NAME?</v>
      </c>
      <c r="C7" t="e">
        <f ca="1"/>
        <v>#NAME?</v>
      </c>
      <c r="D7" t="e">
        <f ca="1"/>
        <v>#NAME?</v>
      </c>
      <c r="E7" t="e">
        <f ca="1"/>
        <v>#NAME?</v>
      </c>
      <c r="F7" t="e">
        <f ca="1"/>
        <v>#NAME?</v>
      </c>
      <c r="G7" t="e">
        <f ca="1"/>
        <v>#NAME?</v>
      </c>
      <c r="H7" t="e">
        <f ca="1"/>
        <v>#NAME?</v>
      </c>
      <c r="I7" t="e">
        <f ca="1"/>
        <v>#NAME?</v>
      </c>
      <c r="J7" t="e">
        <f ca="1"/>
        <v>#NAME?</v>
      </c>
      <c r="K7" t="e">
        <f ca="1"/>
        <v>#NAME?</v>
      </c>
      <c r="P7" t="e">
        <f ca="1"/>
        <v>#NAME?</v>
      </c>
      <c r="Q7" t="e">
        <f ca="1"/>
        <v>#NAME?</v>
      </c>
      <c r="R7" t="e">
        <f ca="1"/>
        <v>#NAME?</v>
      </c>
      <c r="S7" t="e">
        <f ca="1"/>
        <v>#NAME?</v>
      </c>
      <c r="T7" t="e">
        <f ca="1"/>
        <v>#NAME?</v>
      </c>
      <c r="U7" t="e">
        <f ca="1"/>
        <v>#NAME?</v>
      </c>
      <c r="V7" t="e">
        <f ca="1"/>
        <v>#NAME?</v>
      </c>
      <c r="W7" t="e">
        <f ca="1"/>
        <v>#NAME?</v>
      </c>
      <c r="X7" t="e">
        <f ca="1"/>
        <v>#NAME?</v>
      </c>
      <c r="Y7" t="e">
        <f ca="1"/>
        <v>#NAME?</v>
      </c>
      <c r="Z7" t="e">
        <f ca="1"/>
        <v>#NAME?</v>
      </c>
      <c r="AA7" t="e">
        <f ca="1"/>
        <v>#NAME?</v>
      </c>
      <c r="AB7" t="e">
        <f ca="1"/>
        <v>#NAME?</v>
      </c>
      <c r="AC7" t="e">
        <f ca="1"/>
        <v>#NAME?</v>
      </c>
      <c r="AD7" t="e">
        <f ca="1"/>
        <v>#NAME?</v>
      </c>
      <c r="AE7" t="e">
        <f ca="1"/>
        <v>#NAME?</v>
      </c>
      <c r="AF7" t="e">
        <f ca="1"/>
        <v>#NAME?</v>
      </c>
      <c r="AG7" t="e">
        <f ca="1"/>
        <v>#NAME?</v>
      </c>
      <c r="AH7" t="e">
        <f ca="1"/>
        <v>#NAME?</v>
      </c>
      <c r="AI7" t="e">
        <f ca="1"/>
        <v>#NAME?</v>
      </c>
      <c r="AJ7" t="e">
        <f ca="1"/>
        <v>#NAME?</v>
      </c>
      <c r="AK7" t="e">
        <f ca="1"/>
        <v>#NAME?</v>
      </c>
      <c r="AL7" t="e">
        <f ca="1"/>
        <v>#NAME?</v>
      </c>
      <c r="AT7" t="e">
        <f ca="1"/>
        <v>#NAME?</v>
      </c>
      <c r="AU7" t="e">
        <f ca="1"/>
        <v>#NAME?</v>
      </c>
      <c r="AV7" t="e">
        <f ca="1"/>
        <v>#NAME?</v>
      </c>
      <c r="AW7" t="e">
        <f ca="1"/>
        <v>#NAME?</v>
      </c>
      <c r="AX7" t="e">
        <f ca="1"/>
        <v>#NAME?</v>
      </c>
    </row>
    <row r="8" spans="1:50" x14ac:dyDescent="0.3">
      <c r="A8" s="1" t="e">
        <f ca="1"/>
        <v>#NAME?</v>
      </c>
      <c r="B8" t="e">
        <f ca="1"/>
        <v>#NAME?</v>
      </c>
      <c r="C8" t="e">
        <f ca="1"/>
        <v>#NAME?</v>
      </c>
      <c r="D8" t="e">
        <f ca="1"/>
        <v>#NAME?</v>
      </c>
      <c r="E8" t="e">
        <f ca="1"/>
        <v>#NAME?</v>
      </c>
      <c r="F8" t="e">
        <f ca="1"/>
        <v>#NAME?</v>
      </c>
      <c r="G8" t="e">
        <f ca="1"/>
        <v>#NAME?</v>
      </c>
      <c r="H8" t="e">
        <f ca="1"/>
        <v>#NAME?</v>
      </c>
      <c r="I8" t="e">
        <f ca="1"/>
        <v>#NAME?</v>
      </c>
      <c r="J8" t="e">
        <f ca="1"/>
        <v>#NAME?</v>
      </c>
      <c r="K8" t="e">
        <f ca="1"/>
        <v>#NAME?</v>
      </c>
      <c r="P8" t="e">
        <f ca="1"/>
        <v>#NAME?</v>
      </c>
      <c r="Q8" t="e">
        <f ca="1"/>
        <v>#NAME?</v>
      </c>
      <c r="R8" t="e">
        <f ca="1"/>
        <v>#NAME?</v>
      </c>
      <c r="S8" t="e">
        <f ca="1"/>
        <v>#NAME?</v>
      </c>
      <c r="T8" t="e">
        <f ca="1"/>
        <v>#NAME?</v>
      </c>
      <c r="U8" t="e">
        <f ca="1"/>
        <v>#NAME?</v>
      </c>
      <c r="V8" t="e">
        <f ca="1"/>
        <v>#NAME?</v>
      </c>
      <c r="W8" t="e">
        <f ca="1"/>
        <v>#NAME?</v>
      </c>
      <c r="X8" t="e">
        <f ca="1"/>
        <v>#NAME?</v>
      </c>
      <c r="Y8" t="e">
        <f ca="1"/>
        <v>#NAME?</v>
      </c>
      <c r="Z8" t="e">
        <f ca="1"/>
        <v>#NAME?</v>
      </c>
      <c r="AA8" t="e">
        <f ca="1"/>
        <v>#NAME?</v>
      </c>
      <c r="AB8" t="e">
        <f ca="1"/>
        <v>#NAME?</v>
      </c>
      <c r="AC8" t="e">
        <f ca="1"/>
        <v>#NAME?</v>
      </c>
      <c r="AD8" t="e">
        <f ca="1"/>
        <v>#NAME?</v>
      </c>
      <c r="AE8" t="e">
        <f ca="1"/>
        <v>#NAME?</v>
      </c>
      <c r="AF8" t="e">
        <f ca="1"/>
        <v>#NAME?</v>
      </c>
      <c r="AG8" t="e">
        <f ca="1"/>
        <v>#NAME?</v>
      </c>
      <c r="AH8" t="e">
        <f ca="1"/>
        <v>#NAME?</v>
      </c>
      <c r="AI8" t="e">
        <f ca="1"/>
        <v>#NAME?</v>
      </c>
      <c r="AJ8" t="e">
        <f ca="1"/>
        <v>#NAME?</v>
      </c>
      <c r="AK8" t="e">
        <f ca="1"/>
        <v>#NAME?</v>
      </c>
      <c r="AL8" t="e">
        <f ca="1"/>
        <v>#NAME?</v>
      </c>
      <c r="AT8" t="e">
        <f ca="1"/>
        <v>#NAME?</v>
      </c>
      <c r="AU8" t="e">
        <f ca="1"/>
        <v>#NAME?</v>
      </c>
      <c r="AV8" t="e">
        <f ca="1"/>
        <v>#NAME?</v>
      </c>
      <c r="AW8" t="e">
        <f ca="1"/>
        <v>#NAME?</v>
      </c>
      <c r="AX8" t="e">
        <f ca="1"/>
        <v>#NAME?</v>
      </c>
    </row>
    <row r="9" spans="1:50" x14ac:dyDescent="0.3">
      <c r="A9" s="1" t="e">
        <f ca="1"/>
        <v>#NAME?</v>
      </c>
      <c r="B9" t="e">
        <f ca="1"/>
        <v>#NAME?</v>
      </c>
      <c r="C9" t="e">
        <f ca="1"/>
        <v>#NAME?</v>
      </c>
      <c r="D9" t="e">
        <f ca="1"/>
        <v>#NAME?</v>
      </c>
      <c r="E9" t="e">
        <f ca="1"/>
        <v>#NAME?</v>
      </c>
      <c r="F9" t="e">
        <f ca="1"/>
        <v>#NAME?</v>
      </c>
      <c r="G9" t="e">
        <f ca="1"/>
        <v>#NAME?</v>
      </c>
      <c r="H9" t="e">
        <f ca="1"/>
        <v>#NAME?</v>
      </c>
      <c r="I9" t="e">
        <f ca="1"/>
        <v>#NAME?</v>
      </c>
      <c r="J9" t="e">
        <f ca="1"/>
        <v>#NAME?</v>
      </c>
      <c r="K9" t="e">
        <f ca="1"/>
        <v>#NAME?</v>
      </c>
      <c r="P9" t="e">
        <f ca="1"/>
        <v>#NAME?</v>
      </c>
      <c r="Q9" t="e">
        <f ca="1"/>
        <v>#NAME?</v>
      </c>
      <c r="R9" t="e">
        <f ca="1"/>
        <v>#NAME?</v>
      </c>
      <c r="S9" t="e">
        <f ca="1"/>
        <v>#NAME?</v>
      </c>
      <c r="T9" t="e">
        <f ca="1"/>
        <v>#NAME?</v>
      </c>
      <c r="U9" t="e">
        <f ca="1"/>
        <v>#NAME?</v>
      </c>
      <c r="V9" t="e">
        <f ca="1"/>
        <v>#NAME?</v>
      </c>
      <c r="W9" t="e">
        <f ca="1"/>
        <v>#NAME?</v>
      </c>
      <c r="X9" t="e">
        <f ca="1"/>
        <v>#NAME?</v>
      </c>
      <c r="Y9" t="e">
        <f ca="1"/>
        <v>#NAME?</v>
      </c>
      <c r="Z9" t="e">
        <f ca="1"/>
        <v>#NAME?</v>
      </c>
      <c r="AA9" t="e">
        <f ca="1"/>
        <v>#NAME?</v>
      </c>
      <c r="AB9" t="e">
        <f ca="1"/>
        <v>#NAME?</v>
      </c>
      <c r="AC9" t="e">
        <f ca="1"/>
        <v>#NAME?</v>
      </c>
      <c r="AD9" t="e">
        <f ca="1"/>
        <v>#NAME?</v>
      </c>
      <c r="AE9" t="e">
        <f ca="1"/>
        <v>#NAME?</v>
      </c>
      <c r="AF9" t="e">
        <f ca="1"/>
        <v>#NAME?</v>
      </c>
      <c r="AG9" t="e">
        <f ca="1"/>
        <v>#NAME?</v>
      </c>
      <c r="AH9" t="e">
        <f ca="1"/>
        <v>#NAME?</v>
      </c>
      <c r="AI9" t="e">
        <f ca="1"/>
        <v>#NAME?</v>
      </c>
      <c r="AJ9" t="e">
        <f ca="1"/>
        <v>#NAME?</v>
      </c>
      <c r="AK9" t="e">
        <f ca="1"/>
        <v>#NAME?</v>
      </c>
      <c r="AL9" t="e">
        <f ca="1"/>
        <v>#NAME?</v>
      </c>
      <c r="AT9" t="e">
        <f ca="1"/>
        <v>#NAME?</v>
      </c>
      <c r="AU9" t="e">
        <f ca="1"/>
        <v>#NAME?</v>
      </c>
      <c r="AV9" t="e">
        <f ca="1"/>
        <v>#NAME?</v>
      </c>
      <c r="AW9" t="e">
        <f ca="1"/>
        <v>#NAME?</v>
      </c>
      <c r="AX9" t="e">
        <f ca="1"/>
        <v>#NAME?</v>
      </c>
    </row>
    <row r="10" spans="1:50" x14ac:dyDescent="0.3">
      <c r="A10" s="1" t="e">
        <f ca="1"/>
        <v>#NAME?</v>
      </c>
      <c r="B10" t="e">
        <f ca="1"/>
        <v>#NAME?</v>
      </c>
      <c r="C10" t="e">
        <f ca="1"/>
        <v>#NAME?</v>
      </c>
      <c r="D10" t="e">
        <f ca="1"/>
        <v>#NAME?</v>
      </c>
      <c r="E10" t="e">
        <f ca="1"/>
        <v>#NAME?</v>
      </c>
      <c r="F10" t="e">
        <f ca="1"/>
        <v>#NAME?</v>
      </c>
      <c r="G10" t="e">
        <f ca="1"/>
        <v>#NAME?</v>
      </c>
      <c r="H10" t="e">
        <f ca="1"/>
        <v>#NAME?</v>
      </c>
      <c r="I10" t="e">
        <f ca="1"/>
        <v>#NAME?</v>
      </c>
      <c r="J10" t="e">
        <f ca="1"/>
        <v>#NAME?</v>
      </c>
      <c r="K10" t="e">
        <f ca="1"/>
        <v>#NAME?</v>
      </c>
      <c r="P10" t="e">
        <f ca="1"/>
        <v>#NAME?</v>
      </c>
      <c r="Q10" t="e">
        <f ca="1"/>
        <v>#NAME?</v>
      </c>
      <c r="R10" t="e">
        <f ca="1"/>
        <v>#NAME?</v>
      </c>
      <c r="S10" t="e">
        <f ca="1"/>
        <v>#NAME?</v>
      </c>
      <c r="T10" t="e">
        <f ca="1"/>
        <v>#NAME?</v>
      </c>
      <c r="U10" t="e">
        <f ca="1"/>
        <v>#NAME?</v>
      </c>
      <c r="V10" t="e">
        <f ca="1"/>
        <v>#NAME?</v>
      </c>
      <c r="W10" t="e">
        <f ca="1"/>
        <v>#NAME?</v>
      </c>
      <c r="X10" t="e">
        <f ca="1"/>
        <v>#NAME?</v>
      </c>
      <c r="Y10" t="e">
        <f ca="1"/>
        <v>#NAME?</v>
      </c>
      <c r="Z10" t="e">
        <f ca="1"/>
        <v>#NAME?</v>
      </c>
      <c r="AA10" t="e">
        <f ca="1"/>
        <v>#NAME?</v>
      </c>
      <c r="AB10" t="e">
        <f ca="1"/>
        <v>#NAME?</v>
      </c>
      <c r="AC10" t="e">
        <f ca="1"/>
        <v>#NAME?</v>
      </c>
      <c r="AD10" t="e">
        <f ca="1"/>
        <v>#NAME?</v>
      </c>
      <c r="AE10" t="e">
        <f ca="1"/>
        <v>#NAME?</v>
      </c>
      <c r="AF10" t="e">
        <f ca="1"/>
        <v>#NAME?</v>
      </c>
      <c r="AG10" t="e">
        <f ca="1"/>
        <v>#NAME?</v>
      </c>
      <c r="AH10" t="e">
        <f ca="1"/>
        <v>#NAME?</v>
      </c>
      <c r="AI10" t="e">
        <f ca="1"/>
        <v>#NAME?</v>
      </c>
      <c r="AJ10" t="e">
        <f ca="1"/>
        <v>#NAME?</v>
      </c>
      <c r="AK10" t="e">
        <f ca="1"/>
        <v>#NAME?</v>
      </c>
      <c r="AL10" t="e">
        <f ca="1"/>
        <v>#NAME?</v>
      </c>
      <c r="AT10" t="e">
        <f ca="1"/>
        <v>#NAME?</v>
      </c>
      <c r="AU10" t="e">
        <f ca="1"/>
        <v>#NAME?</v>
      </c>
      <c r="AV10" t="e">
        <f ca="1"/>
        <v>#NAME?</v>
      </c>
      <c r="AW10" t="e">
        <f ca="1"/>
        <v>#NAME?</v>
      </c>
      <c r="AX10" t="e">
        <f ca="1"/>
        <v>#NAME?</v>
      </c>
    </row>
    <row r="11" spans="1:50" x14ac:dyDescent="0.3">
      <c r="A11" s="1" t="e">
        <f ca="1"/>
        <v>#NAME?</v>
      </c>
      <c r="B11" t="e">
        <f ca="1"/>
        <v>#NAME?</v>
      </c>
      <c r="C11" t="e">
        <f ca="1"/>
        <v>#NAME?</v>
      </c>
      <c r="D11" t="e">
        <f ca="1"/>
        <v>#NAME?</v>
      </c>
      <c r="E11" t="e">
        <f ca="1"/>
        <v>#NAME?</v>
      </c>
      <c r="F11" t="e">
        <f ca="1"/>
        <v>#NAME?</v>
      </c>
      <c r="G11" t="e">
        <f ca="1"/>
        <v>#NAME?</v>
      </c>
      <c r="H11" t="e">
        <f ca="1"/>
        <v>#NAME?</v>
      </c>
      <c r="I11" t="e">
        <f ca="1"/>
        <v>#NAME?</v>
      </c>
      <c r="J11" t="e">
        <f ca="1"/>
        <v>#NAME?</v>
      </c>
      <c r="K11" t="e">
        <f ca="1"/>
        <v>#NAME?</v>
      </c>
      <c r="P11" t="e">
        <f ca="1"/>
        <v>#NAME?</v>
      </c>
      <c r="Q11" t="e">
        <f ca="1"/>
        <v>#NAME?</v>
      </c>
      <c r="R11" t="e">
        <f ca="1"/>
        <v>#NAME?</v>
      </c>
      <c r="S11" t="e">
        <f ca="1"/>
        <v>#NAME?</v>
      </c>
      <c r="T11" t="e">
        <f ca="1"/>
        <v>#NAME?</v>
      </c>
      <c r="U11" t="e">
        <f ca="1"/>
        <v>#NAME?</v>
      </c>
      <c r="V11" t="e">
        <f ca="1"/>
        <v>#NAME?</v>
      </c>
      <c r="W11" t="e">
        <f ca="1"/>
        <v>#NAME?</v>
      </c>
      <c r="X11" t="e">
        <f ca="1"/>
        <v>#NAME?</v>
      </c>
      <c r="Y11" t="e">
        <f ca="1"/>
        <v>#NAME?</v>
      </c>
      <c r="Z11" t="e">
        <f ca="1"/>
        <v>#NAME?</v>
      </c>
      <c r="AA11" t="e">
        <f ca="1"/>
        <v>#NAME?</v>
      </c>
      <c r="AB11" t="e">
        <f ca="1"/>
        <v>#NAME?</v>
      </c>
      <c r="AC11" t="e">
        <f ca="1"/>
        <v>#NAME?</v>
      </c>
      <c r="AD11" t="e">
        <f ca="1"/>
        <v>#NAME?</v>
      </c>
      <c r="AE11" t="e">
        <f ca="1"/>
        <v>#NAME?</v>
      </c>
      <c r="AF11" t="e">
        <f ca="1"/>
        <v>#NAME?</v>
      </c>
      <c r="AG11" t="e">
        <f ca="1"/>
        <v>#NAME?</v>
      </c>
      <c r="AH11" t="e">
        <f ca="1"/>
        <v>#NAME?</v>
      </c>
      <c r="AI11" t="e">
        <f ca="1"/>
        <v>#NAME?</v>
      </c>
      <c r="AJ11" t="e">
        <f ca="1"/>
        <v>#NAME?</v>
      </c>
      <c r="AK11" t="e">
        <f ca="1"/>
        <v>#NAME?</v>
      </c>
      <c r="AL11" t="e">
        <f ca="1"/>
        <v>#NAME?</v>
      </c>
      <c r="AT11" t="e">
        <f ca="1"/>
        <v>#NAME?</v>
      </c>
      <c r="AU11" t="e">
        <f ca="1"/>
        <v>#NAME?</v>
      </c>
      <c r="AV11" t="e">
        <f ca="1"/>
        <v>#NAME?</v>
      </c>
      <c r="AW11" t="e">
        <f ca="1"/>
        <v>#NAME?</v>
      </c>
      <c r="AX11" t="e">
        <f ca="1"/>
        <v>#NAME?</v>
      </c>
    </row>
    <row r="12" spans="1:50" x14ac:dyDescent="0.3">
      <c r="A12" s="1" t="e">
        <f ca="1"/>
        <v>#NAME?</v>
      </c>
      <c r="B12" t="e">
        <f ca="1"/>
        <v>#NAME?</v>
      </c>
      <c r="C12" t="e">
        <f ca="1"/>
        <v>#NAME?</v>
      </c>
      <c r="D12" t="e">
        <f ca="1"/>
        <v>#NAME?</v>
      </c>
      <c r="E12" t="e">
        <f ca="1"/>
        <v>#NAME?</v>
      </c>
      <c r="F12" t="e">
        <f ca="1"/>
        <v>#NAME?</v>
      </c>
      <c r="G12" t="e">
        <f ca="1"/>
        <v>#NAME?</v>
      </c>
      <c r="H12" t="e">
        <f ca="1"/>
        <v>#NAME?</v>
      </c>
      <c r="I12" t="e">
        <f ca="1"/>
        <v>#NAME?</v>
      </c>
      <c r="J12" t="e">
        <f ca="1"/>
        <v>#NAME?</v>
      </c>
      <c r="K12" t="e">
        <f ca="1"/>
        <v>#NAME?</v>
      </c>
      <c r="P12" t="e">
        <f ca="1"/>
        <v>#NAME?</v>
      </c>
      <c r="Q12" t="e">
        <f ca="1"/>
        <v>#NAME?</v>
      </c>
      <c r="R12" t="e">
        <f ca="1"/>
        <v>#NAME?</v>
      </c>
      <c r="S12" t="e">
        <f ca="1"/>
        <v>#NAME?</v>
      </c>
      <c r="T12" t="e">
        <f ca="1"/>
        <v>#NAME?</v>
      </c>
      <c r="U12" t="e">
        <f ca="1"/>
        <v>#NAME?</v>
      </c>
      <c r="V12" t="e">
        <f ca="1"/>
        <v>#NAME?</v>
      </c>
      <c r="W12" t="e">
        <f ca="1"/>
        <v>#NAME?</v>
      </c>
      <c r="X12" t="e">
        <f ca="1"/>
        <v>#NAME?</v>
      </c>
      <c r="Y12" t="e">
        <f ca="1"/>
        <v>#NAME?</v>
      </c>
      <c r="Z12" t="e">
        <f ca="1"/>
        <v>#NAME?</v>
      </c>
      <c r="AA12" t="e">
        <f ca="1"/>
        <v>#NAME?</v>
      </c>
      <c r="AB12" t="e">
        <f ca="1"/>
        <v>#NAME?</v>
      </c>
      <c r="AC12" t="e">
        <f ca="1"/>
        <v>#NAME?</v>
      </c>
      <c r="AD12" t="e">
        <f ca="1"/>
        <v>#NAME?</v>
      </c>
      <c r="AE12" t="e">
        <f ca="1"/>
        <v>#NAME?</v>
      </c>
      <c r="AF12" t="e">
        <f ca="1"/>
        <v>#NAME?</v>
      </c>
      <c r="AG12" t="e">
        <f ca="1"/>
        <v>#NAME?</v>
      </c>
      <c r="AH12" t="e">
        <f ca="1"/>
        <v>#NAME?</v>
      </c>
      <c r="AI12" t="e">
        <f ca="1"/>
        <v>#NAME?</v>
      </c>
      <c r="AJ12" t="e">
        <f ca="1"/>
        <v>#NAME?</v>
      </c>
      <c r="AK12" t="e">
        <f ca="1"/>
        <v>#NAME?</v>
      </c>
      <c r="AL12" t="e">
        <f ca="1"/>
        <v>#NAME?</v>
      </c>
      <c r="AT12" t="e">
        <f ca="1"/>
        <v>#NAME?</v>
      </c>
      <c r="AU12" t="e">
        <f ca="1"/>
        <v>#NAME?</v>
      </c>
      <c r="AV12" t="e">
        <f ca="1"/>
        <v>#NAME?</v>
      </c>
      <c r="AW12" t="e">
        <f ca="1"/>
        <v>#NAME?</v>
      </c>
      <c r="AX12" t="e">
        <f ca="1"/>
        <v>#NAME?</v>
      </c>
    </row>
    <row r="13" spans="1:50" x14ac:dyDescent="0.3">
      <c r="A13" s="1" t="e">
        <f ca="1"/>
        <v>#NAME?</v>
      </c>
      <c r="B13" t="e">
        <f ca="1"/>
        <v>#NAME?</v>
      </c>
      <c r="C13" t="e">
        <f ca="1"/>
        <v>#NAME?</v>
      </c>
      <c r="D13" t="e">
        <f ca="1"/>
        <v>#NAME?</v>
      </c>
      <c r="E13" t="e">
        <f ca="1"/>
        <v>#NAME?</v>
      </c>
      <c r="F13" t="e">
        <f ca="1"/>
        <v>#NAME?</v>
      </c>
      <c r="G13" t="e">
        <f ca="1"/>
        <v>#NAME?</v>
      </c>
      <c r="H13" t="e">
        <f ca="1"/>
        <v>#NAME?</v>
      </c>
      <c r="I13" t="e">
        <f ca="1"/>
        <v>#NAME?</v>
      </c>
      <c r="J13" t="e">
        <f ca="1"/>
        <v>#NAME?</v>
      </c>
      <c r="K13" t="e">
        <f ca="1"/>
        <v>#NAME?</v>
      </c>
      <c r="P13" t="e">
        <f ca="1"/>
        <v>#NAME?</v>
      </c>
      <c r="Q13" t="e">
        <f ca="1"/>
        <v>#NAME?</v>
      </c>
      <c r="R13" t="e">
        <f ca="1"/>
        <v>#NAME?</v>
      </c>
      <c r="S13" t="e">
        <f ca="1"/>
        <v>#NAME?</v>
      </c>
      <c r="T13" t="e">
        <f ca="1"/>
        <v>#NAME?</v>
      </c>
      <c r="U13" t="e">
        <f ca="1"/>
        <v>#NAME?</v>
      </c>
      <c r="V13" t="e">
        <f ca="1"/>
        <v>#NAME?</v>
      </c>
      <c r="W13" t="e">
        <f ca="1"/>
        <v>#NAME?</v>
      </c>
      <c r="X13" t="e">
        <f ca="1"/>
        <v>#NAME?</v>
      </c>
      <c r="Y13" t="e">
        <f ca="1"/>
        <v>#NAME?</v>
      </c>
      <c r="Z13" t="e">
        <f ca="1"/>
        <v>#NAME?</v>
      </c>
      <c r="AA13" t="e">
        <f ca="1"/>
        <v>#NAME?</v>
      </c>
      <c r="AB13" t="e">
        <f ca="1"/>
        <v>#NAME?</v>
      </c>
      <c r="AC13" t="e">
        <f ca="1"/>
        <v>#NAME?</v>
      </c>
      <c r="AD13" t="e">
        <f ca="1"/>
        <v>#NAME?</v>
      </c>
      <c r="AE13" t="e">
        <f ca="1"/>
        <v>#NAME?</v>
      </c>
      <c r="AF13" t="e">
        <f ca="1"/>
        <v>#NAME?</v>
      </c>
      <c r="AG13" t="e">
        <f ca="1"/>
        <v>#NAME?</v>
      </c>
      <c r="AH13" t="e">
        <f ca="1"/>
        <v>#NAME?</v>
      </c>
      <c r="AI13" t="e">
        <f ca="1"/>
        <v>#NAME?</v>
      </c>
      <c r="AJ13" t="e">
        <f ca="1"/>
        <v>#NAME?</v>
      </c>
      <c r="AK13" t="e">
        <f ca="1"/>
        <v>#NAME?</v>
      </c>
      <c r="AL13" t="e">
        <f ca="1"/>
        <v>#NAME?</v>
      </c>
      <c r="AT13" t="e">
        <f ca="1"/>
        <v>#NAME?</v>
      </c>
      <c r="AU13" t="e">
        <f ca="1"/>
        <v>#NAME?</v>
      </c>
      <c r="AV13" t="e">
        <f ca="1"/>
        <v>#NAME?</v>
      </c>
      <c r="AW13" t="e">
        <f ca="1"/>
        <v>#NAME?</v>
      </c>
      <c r="AX13" t="e">
        <f ca="1"/>
        <v>#NAME?</v>
      </c>
    </row>
    <row r="14" spans="1:50" x14ac:dyDescent="0.3">
      <c r="A14" s="1" t="e">
        <f ca="1"/>
        <v>#NAME?</v>
      </c>
      <c r="B14" t="e">
        <f ca="1"/>
        <v>#NAME?</v>
      </c>
      <c r="C14" t="e">
        <f ca="1"/>
        <v>#NAME?</v>
      </c>
      <c r="D14" t="e">
        <f ca="1"/>
        <v>#NAME?</v>
      </c>
      <c r="E14" t="e">
        <f ca="1"/>
        <v>#NAME?</v>
      </c>
      <c r="F14" t="e">
        <f ca="1"/>
        <v>#NAME?</v>
      </c>
      <c r="G14" t="e">
        <f ca="1"/>
        <v>#NAME?</v>
      </c>
      <c r="H14" t="e">
        <f ca="1"/>
        <v>#NAME?</v>
      </c>
      <c r="I14" t="e">
        <f ca="1"/>
        <v>#NAME?</v>
      </c>
      <c r="J14" t="e">
        <f ca="1"/>
        <v>#NAME?</v>
      </c>
      <c r="K14" t="e">
        <f ca="1"/>
        <v>#NAME?</v>
      </c>
      <c r="P14" t="e">
        <f ca="1"/>
        <v>#NAME?</v>
      </c>
      <c r="Q14" t="e">
        <f ca="1"/>
        <v>#NAME?</v>
      </c>
      <c r="R14" t="e">
        <f ca="1"/>
        <v>#NAME?</v>
      </c>
      <c r="S14" t="e">
        <f ca="1"/>
        <v>#NAME?</v>
      </c>
      <c r="T14" t="e">
        <f ca="1"/>
        <v>#NAME?</v>
      </c>
      <c r="U14" t="e">
        <f ca="1"/>
        <v>#NAME?</v>
      </c>
      <c r="V14" t="e">
        <f ca="1"/>
        <v>#NAME?</v>
      </c>
      <c r="W14" t="e">
        <f ca="1"/>
        <v>#NAME?</v>
      </c>
      <c r="X14" t="e">
        <f ca="1"/>
        <v>#NAME?</v>
      </c>
      <c r="Y14" t="e">
        <f ca="1"/>
        <v>#NAME?</v>
      </c>
      <c r="Z14" t="e">
        <f ca="1"/>
        <v>#NAME?</v>
      </c>
      <c r="AA14" t="e">
        <f ca="1"/>
        <v>#NAME?</v>
      </c>
      <c r="AB14" t="e">
        <f ca="1"/>
        <v>#NAME?</v>
      </c>
      <c r="AC14" t="e">
        <f ca="1"/>
        <v>#NAME?</v>
      </c>
      <c r="AD14" t="e">
        <f ca="1"/>
        <v>#NAME?</v>
      </c>
      <c r="AE14" t="e">
        <f ca="1"/>
        <v>#NAME?</v>
      </c>
      <c r="AF14" t="e">
        <f ca="1"/>
        <v>#NAME?</v>
      </c>
      <c r="AG14" t="e">
        <f ca="1"/>
        <v>#NAME?</v>
      </c>
      <c r="AH14" t="e">
        <f ca="1"/>
        <v>#NAME?</v>
      </c>
      <c r="AI14" t="e">
        <f ca="1"/>
        <v>#NAME?</v>
      </c>
      <c r="AJ14" t="e">
        <f ca="1"/>
        <v>#NAME?</v>
      </c>
      <c r="AK14" t="e">
        <f ca="1"/>
        <v>#NAME?</v>
      </c>
      <c r="AL14" t="e">
        <f ca="1"/>
        <v>#NAME?</v>
      </c>
      <c r="AT14" t="e">
        <f ca="1"/>
        <v>#NAME?</v>
      </c>
      <c r="AU14" t="e">
        <f ca="1"/>
        <v>#NAME?</v>
      </c>
      <c r="AV14" t="e">
        <f ca="1"/>
        <v>#NAME?</v>
      </c>
      <c r="AW14" t="e">
        <f ca="1"/>
        <v>#NAME?</v>
      </c>
      <c r="AX14" t="e">
        <f ca="1"/>
        <v>#NAME?</v>
      </c>
    </row>
    <row r="15" spans="1:50" x14ac:dyDescent="0.3">
      <c r="A15" s="1" t="e">
        <f ca="1"/>
        <v>#NAME?</v>
      </c>
      <c r="B15" t="e">
        <f ca="1"/>
        <v>#NAME?</v>
      </c>
      <c r="C15" t="e">
        <f ca="1"/>
        <v>#NAME?</v>
      </c>
      <c r="D15" t="e">
        <f ca="1"/>
        <v>#NAME?</v>
      </c>
      <c r="E15" t="e">
        <f ca="1"/>
        <v>#NAME?</v>
      </c>
      <c r="F15" t="e">
        <f ca="1"/>
        <v>#NAME?</v>
      </c>
      <c r="G15" t="e">
        <f ca="1"/>
        <v>#NAME?</v>
      </c>
      <c r="H15" t="e">
        <f ca="1"/>
        <v>#NAME?</v>
      </c>
      <c r="I15" t="e">
        <f ca="1"/>
        <v>#NAME?</v>
      </c>
      <c r="J15" t="e">
        <f ca="1"/>
        <v>#NAME?</v>
      </c>
      <c r="K15" t="e">
        <f ca="1"/>
        <v>#NAME?</v>
      </c>
      <c r="P15" t="e">
        <f ca="1"/>
        <v>#NAME?</v>
      </c>
      <c r="Q15" t="e">
        <f ca="1"/>
        <v>#NAME?</v>
      </c>
      <c r="R15" t="e">
        <f ca="1"/>
        <v>#NAME?</v>
      </c>
      <c r="S15" t="e">
        <f ca="1"/>
        <v>#NAME?</v>
      </c>
      <c r="T15" t="e">
        <f ca="1"/>
        <v>#NAME?</v>
      </c>
      <c r="U15" t="e">
        <f ca="1"/>
        <v>#NAME?</v>
      </c>
      <c r="V15" t="e">
        <f ca="1"/>
        <v>#NAME?</v>
      </c>
      <c r="W15" t="e">
        <f ca="1"/>
        <v>#NAME?</v>
      </c>
      <c r="X15" t="e">
        <f ca="1"/>
        <v>#NAME?</v>
      </c>
      <c r="Y15" t="e">
        <f ca="1"/>
        <v>#NAME?</v>
      </c>
      <c r="Z15" t="e">
        <f ca="1"/>
        <v>#NAME?</v>
      </c>
      <c r="AA15" t="e">
        <f ca="1"/>
        <v>#NAME?</v>
      </c>
      <c r="AB15" t="e">
        <f ca="1"/>
        <v>#NAME?</v>
      </c>
      <c r="AC15" t="e">
        <f ca="1"/>
        <v>#NAME?</v>
      </c>
      <c r="AD15" t="e">
        <f ca="1"/>
        <v>#NAME?</v>
      </c>
      <c r="AE15" t="e">
        <f ca="1"/>
        <v>#NAME?</v>
      </c>
      <c r="AF15" t="e">
        <f ca="1"/>
        <v>#NAME?</v>
      </c>
      <c r="AG15" t="e">
        <f ca="1"/>
        <v>#NAME?</v>
      </c>
      <c r="AH15" t="e">
        <f ca="1"/>
        <v>#NAME?</v>
      </c>
      <c r="AI15" t="e">
        <f ca="1"/>
        <v>#NAME?</v>
      </c>
      <c r="AJ15" t="e">
        <f ca="1"/>
        <v>#NAME?</v>
      </c>
      <c r="AK15" t="e">
        <f ca="1"/>
        <v>#NAME?</v>
      </c>
      <c r="AL15" t="e">
        <f ca="1"/>
        <v>#NAME?</v>
      </c>
      <c r="AT15" t="e">
        <f ca="1"/>
        <v>#NAME?</v>
      </c>
      <c r="AU15" t="e">
        <f ca="1"/>
        <v>#NAME?</v>
      </c>
      <c r="AV15" t="e">
        <f ca="1"/>
        <v>#NAME?</v>
      </c>
      <c r="AW15" t="e">
        <f ca="1"/>
        <v>#NAME?</v>
      </c>
      <c r="AX15" t="e">
        <f ca="1"/>
        <v>#NAME?</v>
      </c>
    </row>
    <row r="16" spans="1:50" x14ac:dyDescent="0.3">
      <c r="A16" s="1" t="e">
        <f ca="1"/>
        <v>#NAME?</v>
      </c>
      <c r="B16" t="e">
        <f ca="1"/>
        <v>#NAME?</v>
      </c>
      <c r="C16" t="e">
        <f ca="1"/>
        <v>#NAME?</v>
      </c>
      <c r="D16" t="e">
        <f ca="1"/>
        <v>#NAME?</v>
      </c>
      <c r="E16" t="e">
        <f ca="1"/>
        <v>#NAME?</v>
      </c>
      <c r="F16" t="e">
        <f ca="1"/>
        <v>#NAME?</v>
      </c>
      <c r="G16" t="e">
        <f ca="1"/>
        <v>#NAME?</v>
      </c>
      <c r="H16" t="e">
        <f ca="1"/>
        <v>#NAME?</v>
      </c>
      <c r="I16" t="e">
        <f ca="1"/>
        <v>#NAME?</v>
      </c>
      <c r="J16" t="e">
        <f ca="1"/>
        <v>#NAME?</v>
      </c>
      <c r="K16" t="e">
        <f ca="1"/>
        <v>#NAME?</v>
      </c>
      <c r="P16" t="e">
        <f ca="1"/>
        <v>#NAME?</v>
      </c>
      <c r="Q16" t="e">
        <f ca="1"/>
        <v>#NAME?</v>
      </c>
      <c r="R16" t="e">
        <f ca="1"/>
        <v>#NAME?</v>
      </c>
      <c r="S16" t="e">
        <f ca="1"/>
        <v>#NAME?</v>
      </c>
      <c r="T16" t="e">
        <f ca="1"/>
        <v>#NAME?</v>
      </c>
      <c r="U16" t="e">
        <f ca="1"/>
        <v>#NAME?</v>
      </c>
      <c r="V16" t="e">
        <f ca="1"/>
        <v>#NAME?</v>
      </c>
      <c r="W16" t="e">
        <f ca="1"/>
        <v>#NAME?</v>
      </c>
      <c r="X16" t="e">
        <f ca="1"/>
        <v>#NAME?</v>
      </c>
      <c r="Y16" t="e">
        <f ca="1"/>
        <v>#NAME?</v>
      </c>
      <c r="Z16" t="e">
        <f ca="1"/>
        <v>#NAME?</v>
      </c>
      <c r="AA16" t="e">
        <f ca="1"/>
        <v>#NAME?</v>
      </c>
      <c r="AB16" t="e">
        <f ca="1"/>
        <v>#NAME?</v>
      </c>
      <c r="AC16" t="e">
        <f ca="1"/>
        <v>#NAME?</v>
      </c>
      <c r="AD16" t="e">
        <f ca="1"/>
        <v>#NAME?</v>
      </c>
      <c r="AE16" t="e">
        <f ca="1"/>
        <v>#NAME?</v>
      </c>
      <c r="AF16" t="e">
        <f ca="1"/>
        <v>#NAME?</v>
      </c>
      <c r="AG16" t="e">
        <f ca="1"/>
        <v>#NAME?</v>
      </c>
      <c r="AH16" t="e">
        <f ca="1"/>
        <v>#NAME?</v>
      </c>
      <c r="AI16" t="e">
        <f ca="1"/>
        <v>#NAME?</v>
      </c>
      <c r="AJ16" t="e">
        <f ca="1"/>
        <v>#NAME?</v>
      </c>
      <c r="AK16" t="e">
        <f ca="1"/>
        <v>#NAME?</v>
      </c>
      <c r="AL16" t="e">
        <f ca="1"/>
        <v>#NAME?</v>
      </c>
      <c r="AT16" t="e">
        <f ca="1"/>
        <v>#NAME?</v>
      </c>
      <c r="AU16" t="e">
        <f ca="1"/>
        <v>#NAME?</v>
      </c>
      <c r="AV16" t="e">
        <f ca="1"/>
        <v>#NAME?</v>
      </c>
      <c r="AW16" t="e">
        <f ca="1"/>
        <v>#NAME?</v>
      </c>
      <c r="AX16" t="e">
        <f ca="1"/>
        <v>#NAME?</v>
      </c>
    </row>
    <row r="17" spans="1:50" x14ac:dyDescent="0.3">
      <c r="A17" s="1" t="e">
        <f ca="1"/>
        <v>#NAME?</v>
      </c>
      <c r="B17" t="e">
        <f ca="1"/>
        <v>#NAME?</v>
      </c>
      <c r="C17" t="e">
        <f ca="1"/>
        <v>#NAME?</v>
      </c>
      <c r="D17" t="e">
        <f ca="1"/>
        <v>#NAME?</v>
      </c>
      <c r="E17" t="e">
        <f ca="1"/>
        <v>#NAME?</v>
      </c>
      <c r="F17" t="e">
        <f ca="1"/>
        <v>#NAME?</v>
      </c>
      <c r="G17" t="e">
        <f ca="1"/>
        <v>#NAME?</v>
      </c>
      <c r="H17" t="e">
        <f ca="1"/>
        <v>#NAME?</v>
      </c>
      <c r="I17" t="e">
        <f ca="1"/>
        <v>#NAME?</v>
      </c>
      <c r="J17" t="e">
        <f ca="1"/>
        <v>#NAME?</v>
      </c>
      <c r="K17" t="e">
        <f ca="1"/>
        <v>#NAME?</v>
      </c>
      <c r="P17" t="e">
        <f ca="1"/>
        <v>#NAME?</v>
      </c>
      <c r="Q17" t="e">
        <f ca="1"/>
        <v>#NAME?</v>
      </c>
      <c r="R17" t="e">
        <f ca="1"/>
        <v>#NAME?</v>
      </c>
      <c r="S17" t="e">
        <f ca="1"/>
        <v>#NAME?</v>
      </c>
      <c r="T17" t="e">
        <f ca="1"/>
        <v>#NAME?</v>
      </c>
      <c r="U17" t="e">
        <f ca="1"/>
        <v>#NAME?</v>
      </c>
      <c r="V17" t="e">
        <f ca="1"/>
        <v>#NAME?</v>
      </c>
      <c r="W17" t="e">
        <f ca="1"/>
        <v>#NAME?</v>
      </c>
      <c r="X17" t="e">
        <f ca="1"/>
        <v>#NAME?</v>
      </c>
      <c r="Y17" t="e">
        <f ca="1"/>
        <v>#NAME?</v>
      </c>
      <c r="Z17" t="e">
        <f ca="1"/>
        <v>#NAME?</v>
      </c>
      <c r="AA17" t="e">
        <f ca="1"/>
        <v>#NAME?</v>
      </c>
      <c r="AB17" t="e">
        <f ca="1"/>
        <v>#NAME?</v>
      </c>
      <c r="AC17" t="e">
        <f ca="1"/>
        <v>#NAME?</v>
      </c>
      <c r="AD17" t="e">
        <f ca="1"/>
        <v>#NAME?</v>
      </c>
      <c r="AE17" t="e">
        <f ca="1"/>
        <v>#NAME?</v>
      </c>
      <c r="AF17" t="e">
        <f ca="1"/>
        <v>#NAME?</v>
      </c>
      <c r="AG17" t="e">
        <f ca="1"/>
        <v>#NAME?</v>
      </c>
      <c r="AH17" t="e">
        <f ca="1"/>
        <v>#NAME?</v>
      </c>
      <c r="AI17" t="e">
        <f ca="1"/>
        <v>#NAME?</v>
      </c>
      <c r="AJ17" t="e">
        <f ca="1"/>
        <v>#NAME?</v>
      </c>
      <c r="AK17" t="e">
        <f ca="1"/>
        <v>#NAME?</v>
      </c>
      <c r="AL17" t="e">
        <f ca="1"/>
        <v>#NAME?</v>
      </c>
      <c r="AT17" t="e">
        <f ca="1"/>
        <v>#NAME?</v>
      </c>
      <c r="AU17" t="e">
        <f ca="1"/>
        <v>#NAME?</v>
      </c>
      <c r="AV17" t="e">
        <f ca="1"/>
        <v>#NAME?</v>
      </c>
      <c r="AW17" t="e">
        <f ca="1"/>
        <v>#NAME?</v>
      </c>
      <c r="AX17" t="e">
        <f ca="1"/>
        <v>#NAME?</v>
      </c>
    </row>
    <row r="18" spans="1:50" x14ac:dyDescent="0.3">
      <c r="A18" s="1" t="e">
        <f ca="1"/>
        <v>#NAME?</v>
      </c>
      <c r="B18" t="e">
        <f ca="1"/>
        <v>#NAME?</v>
      </c>
      <c r="C18" t="e">
        <f ca="1"/>
        <v>#NAME?</v>
      </c>
      <c r="D18" t="e">
        <f ca="1"/>
        <v>#NAME?</v>
      </c>
      <c r="E18" t="e">
        <f ca="1"/>
        <v>#NAME?</v>
      </c>
      <c r="F18" t="e">
        <f ca="1"/>
        <v>#NAME?</v>
      </c>
      <c r="G18" t="e">
        <f ca="1"/>
        <v>#NAME?</v>
      </c>
      <c r="H18" t="e">
        <f ca="1"/>
        <v>#NAME?</v>
      </c>
      <c r="I18" t="e">
        <f ca="1"/>
        <v>#NAME?</v>
      </c>
      <c r="J18" t="e">
        <f ca="1"/>
        <v>#NAME?</v>
      </c>
      <c r="K18" t="e">
        <f ca="1"/>
        <v>#NAME?</v>
      </c>
      <c r="P18" t="e">
        <f ca="1"/>
        <v>#NAME?</v>
      </c>
      <c r="Q18" t="e">
        <f ca="1"/>
        <v>#NAME?</v>
      </c>
      <c r="R18" t="e">
        <f ca="1"/>
        <v>#NAME?</v>
      </c>
      <c r="S18" t="e">
        <f ca="1"/>
        <v>#NAME?</v>
      </c>
      <c r="T18" t="e">
        <f ca="1"/>
        <v>#NAME?</v>
      </c>
      <c r="U18" t="e">
        <f ca="1"/>
        <v>#NAME?</v>
      </c>
      <c r="V18" t="e">
        <f ca="1"/>
        <v>#NAME?</v>
      </c>
      <c r="W18" t="e">
        <f ca="1"/>
        <v>#NAME?</v>
      </c>
      <c r="X18" t="e">
        <f ca="1"/>
        <v>#NAME?</v>
      </c>
      <c r="Y18" t="e">
        <f ca="1"/>
        <v>#NAME?</v>
      </c>
      <c r="Z18" t="e">
        <f ca="1"/>
        <v>#NAME?</v>
      </c>
      <c r="AA18" t="e">
        <f ca="1"/>
        <v>#NAME?</v>
      </c>
      <c r="AB18" t="e">
        <f ca="1"/>
        <v>#NAME?</v>
      </c>
      <c r="AC18" t="e">
        <f ca="1"/>
        <v>#NAME?</v>
      </c>
      <c r="AD18" t="e">
        <f ca="1"/>
        <v>#NAME?</v>
      </c>
      <c r="AE18" t="e">
        <f ca="1"/>
        <v>#NAME?</v>
      </c>
      <c r="AF18" t="e">
        <f ca="1"/>
        <v>#NAME?</v>
      </c>
      <c r="AG18" t="e">
        <f ca="1"/>
        <v>#NAME?</v>
      </c>
      <c r="AH18" t="e">
        <f ca="1"/>
        <v>#NAME?</v>
      </c>
      <c r="AI18" t="e">
        <f ca="1"/>
        <v>#NAME?</v>
      </c>
      <c r="AJ18" t="e">
        <f ca="1"/>
        <v>#NAME?</v>
      </c>
      <c r="AK18" t="e">
        <f ca="1"/>
        <v>#NAME?</v>
      </c>
      <c r="AL18" t="e">
        <f ca="1"/>
        <v>#NAME?</v>
      </c>
      <c r="AT18" t="e">
        <f ca="1"/>
        <v>#NAME?</v>
      </c>
      <c r="AU18" t="e">
        <f ca="1"/>
        <v>#NAME?</v>
      </c>
      <c r="AV18" t="e">
        <f ca="1"/>
        <v>#NAME?</v>
      </c>
      <c r="AW18" t="e">
        <f ca="1"/>
        <v>#NAME?</v>
      </c>
      <c r="AX18" t="e">
        <f ca="1"/>
        <v>#NAME?</v>
      </c>
    </row>
    <row r="19" spans="1:50" x14ac:dyDescent="0.3">
      <c r="A19" s="1" t="e">
        <f ca="1"/>
        <v>#NAME?</v>
      </c>
      <c r="B19" t="e">
        <f ca="1"/>
        <v>#NAME?</v>
      </c>
      <c r="C19" t="e">
        <f ca="1"/>
        <v>#NAME?</v>
      </c>
      <c r="D19" t="e">
        <f ca="1"/>
        <v>#NAME?</v>
      </c>
      <c r="E19" t="e">
        <f ca="1"/>
        <v>#NAME?</v>
      </c>
      <c r="F19" t="e">
        <f ca="1"/>
        <v>#NAME?</v>
      </c>
      <c r="G19" t="e">
        <f ca="1"/>
        <v>#NAME?</v>
      </c>
      <c r="H19" t="e">
        <f ca="1"/>
        <v>#NAME?</v>
      </c>
      <c r="I19" t="e">
        <f ca="1"/>
        <v>#NAME?</v>
      </c>
      <c r="J19" t="e">
        <f ca="1"/>
        <v>#NAME?</v>
      </c>
      <c r="K19" t="e">
        <f ca="1"/>
        <v>#NAME?</v>
      </c>
      <c r="P19" t="e">
        <f ca="1"/>
        <v>#NAME?</v>
      </c>
      <c r="Q19" t="e">
        <f ca="1"/>
        <v>#NAME?</v>
      </c>
      <c r="R19" t="e">
        <f ca="1"/>
        <v>#NAME?</v>
      </c>
      <c r="S19" t="e">
        <f ca="1"/>
        <v>#NAME?</v>
      </c>
      <c r="T19" t="e">
        <f ca="1"/>
        <v>#NAME?</v>
      </c>
      <c r="U19" t="e">
        <f ca="1"/>
        <v>#NAME?</v>
      </c>
      <c r="V19" t="e">
        <f ca="1"/>
        <v>#NAME?</v>
      </c>
      <c r="W19" t="e">
        <f ca="1"/>
        <v>#NAME?</v>
      </c>
      <c r="X19" t="e">
        <f ca="1"/>
        <v>#NAME?</v>
      </c>
      <c r="Y19" t="e">
        <f ca="1"/>
        <v>#NAME?</v>
      </c>
      <c r="Z19" t="e">
        <f ca="1"/>
        <v>#NAME?</v>
      </c>
      <c r="AA19" t="e">
        <f ca="1"/>
        <v>#NAME?</v>
      </c>
      <c r="AB19" t="e">
        <f ca="1"/>
        <v>#NAME?</v>
      </c>
      <c r="AC19" t="e">
        <f ca="1"/>
        <v>#NAME?</v>
      </c>
      <c r="AD19" t="e">
        <f ca="1"/>
        <v>#NAME?</v>
      </c>
      <c r="AE19" t="e">
        <f ca="1"/>
        <v>#NAME?</v>
      </c>
      <c r="AF19" t="e">
        <f ca="1"/>
        <v>#NAME?</v>
      </c>
      <c r="AG19" t="e">
        <f ca="1"/>
        <v>#NAME?</v>
      </c>
      <c r="AH19" t="e">
        <f ca="1"/>
        <v>#NAME?</v>
      </c>
      <c r="AI19" t="e">
        <f ca="1"/>
        <v>#NAME?</v>
      </c>
      <c r="AJ19" t="e">
        <f ca="1"/>
        <v>#NAME?</v>
      </c>
      <c r="AK19" t="e">
        <f ca="1"/>
        <v>#NAME?</v>
      </c>
      <c r="AL19" t="e">
        <f ca="1"/>
        <v>#NAME?</v>
      </c>
      <c r="AT19" t="e">
        <f ca="1"/>
        <v>#NAME?</v>
      </c>
      <c r="AU19" t="e">
        <f ca="1"/>
        <v>#NAME?</v>
      </c>
      <c r="AV19" t="e">
        <f ca="1"/>
        <v>#NAME?</v>
      </c>
      <c r="AW19" t="e">
        <f ca="1"/>
        <v>#NAME?</v>
      </c>
      <c r="AX19" t="e">
        <f ca="1"/>
        <v>#NAME?</v>
      </c>
    </row>
    <row r="20" spans="1:50" x14ac:dyDescent="0.3">
      <c r="A20" s="1" t="e">
        <f ca="1"/>
        <v>#NAME?</v>
      </c>
      <c r="B20" t="e">
        <f ca="1"/>
        <v>#NAME?</v>
      </c>
      <c r="C20" t="e">
        <f ca="1"/>
        <v>#NAME?</v>
      </c>
      <c r="D20" t="e">
        <f ca="1"/>
        <v>#NAME?</v>
      </c>
      <c r="E20" t="e">
        <f ca="1"/>
        <v>#NAME?</v>
      </c>
      <c r="F20" t="e">
        <f ca="1"/>
        <v>#NAME?</v>
      </c>
      <c r="G20" t="e">
        <f ca="1"/>
        <v>#NAME?</v>
      </c>
      <c r="H20" t="e">
        <f ca="1"/>
        <v>#NAME?</v>
      </c>
      <c r="I20" t="e">
        <f ca="1"/>
        <v>#NAME?</v>
      </c>
      <c r="J20" t="e">
        <f ca="1"/>
        <v>#NAME?</v>
      </c>
      <c r="K20" t="e">
        <f ca="1"/>
        <v>#NAME?</v>
      </c>
      <c r="P20" t="e">
        <f ca="1"/>
        <v>#NAME?</v>
      </c>
      <c r="Q20" t="e">
        <f ca="1"/>
        <v>#NAME?</v>
      </c>
      <c r="R20" t="e">
        <f ca="1"/>
        <v>#NAME?</v>
      </c>
      <c r="S20" t="e">
        <f ca="1"/>
        <v>#NAME?</v>
      </c>
      <c r="T20" t="e">
        <f ca="1"/>
        <v>#NAME?</v>
      </c>
      <c r="U20" t="e">
        <f ca="1"/>
        <v>#NAME?</v>
      </c>
      <c r="V20" t="e">
        <f ca="1"/>
        <v>#NAME?</v>
      </c>
      <c r="W20" t="e">
        <f ca="1"/>
        <v>#NAME?</v>
      </c>
      <c r="X20" t="e">
        <f ca="1"/>
        <v>#NAME?</v>
      </c>
      <c r="Y20" t="e">
        <f ca="1"/>
        <v>#NAME?</v>
      </c>
      <c r="Z20" t="e">
        <f ca="1"/>
        <v>#NAME?</v>
      </c>
      <c r="AA20" t="e">
        <f ca="1"/>
        <v>#NAME?</v>
      </c>
      <c r="AB20" t="e">
        <f ca="1"/>
        <v>#NAME?</v>
      </c>
      <c r="AC20" t="e">
        <f ca="1"/>
        <v>#NAME?</v>
      </c>
      <c r="AD20" t="e">
        <f ca="1"/>
        <v>#NAME?</v>
      </c>
      <c r="AE20" t="e">
        <f ca="1"/>
        <v>#NAME?</v>
      </c>
      <c r="AF20" t="e">
        <f ca="1"/>
        <v>#NAME?</v>
      </c>
      <c r="AG20" t="e">
        <f ca="1"/>
        <v>#NAME?</v>
      </c>
      <c r="AH20" t="e">
        <f ca="1"/>
        <v>#NAME?</v>
      </c>
      <c r="AI20" t="e">
        <f ca="1"/>
        <v>#NAME?</v>
      </c>
      <c r="AJ20" t="e">
        <f ca="1"/>
        <v>#NAME?</v>
      </c>
      <c r="AK20" t="e">
        <f ca="1"/>
        <v>#NAME?</v>
      </c>
      <c r="AL20" t="e">
        <f ca="1"/>
        <v>#NAME?</v>
      </c>
      <c r="AT20" t="e">
        <f ca="1"/>
        <v>#NAME?</v>
      </c>
      <c r="AU20" t="e">
        <f ca="1"/>
        <v>#NAME?</v>
      </c>
      <c r="AV20" t="e">
        <f ca="1"/>
        <v>#NAME?</v>
      </c>
      <c r="AW20" t="e">
        <f ca="1"/>
        <v>#NAME?</v>
      </c>
      <c r="AX20" t="e">
        <f ca="1"/>
        <v>#NAME?</v>
      </c>
    </row>
    <row r="21" spans="1:50" x14ac:dyDescent="0.3">
      <c r="A21" s="1" t="e">
        <f ca="1"/>
        <v>#NAME?</v>
      </c>
      <c r="B21" t="e">
        <f ca="1"/>
        <v>#NAME?</v>
      </c>
      <c r="C21" t="e">
        <f ca="1"/>
        <v>#NAME?</v>
      </c>
      <c r="D21" t="e">
        <f ca="1"/>
        <v>#NAME?</v>
      </c>
      <c r="E21" t="e">
        <f ca="1"/>
        <v>#NAME?</v>
      </c>
      <c r="F21" t="e">
        <f ca="1"/>
        <v>#NAME?</v>
      </c>
      <c r="G21" t="e">
        <f ca="1"/>
        <v>#NAME?</v>
      </c>
      <c r="H21" t="e">
        <f ca="1"/>
        <v>#NAME?</v>
      </c>
      <c r="I21" t="e">
        <f ca="1"/>
        <v>#NAME?</v>
      </c>
      <c r="J21" t="e">
        <f ca="1"/>
        <v>#NAME?</v>
      </c>
      <c r="K21" t="e">
        <f ca="1"/>
        <v>#NAME?</v>
      </c>
      <c r="P21" t="e">
        <f ca="1"/>
        <v>#NAME?</v>
      </c>
      <c r="Q21" t="e">
        <f ca="1"/>
        <v>#NAME?</v>
      </c>
      <c r="R21" t="e">
        <f ca="1"/>
        <v>#NAME?</v>
      </c>
      <c r="S21" t="e">
        <f ca="1"/>
        <v>#NAME?</v>
      </c>
      <c r="T21" t="e">
        <f ca="1"/>
        <v>#NAME?</v>
      </c>
      <c r="U21" t="e">
        <f ca="1"/>
        <v>#NAME?</v>
      </c>
      <c r="V21" t="e">
        <f ca="1"/>
        <v>#NAME?</v>
      </c>
      <c r="W21" t="e">
        <f ca="1"/>
        <v>#NAME?</v>
      </c>
      <c r="X21" t="e">
        <f ca="1"/>
        <v>#NAME?</v>
      </c>
      <c r="Y21" t="e">
        <f ca="1"/>
        <v>#NAME?</v>
      </c>
      <c r="Z21" t="e">
        <f ca="1"/>
        <v>#NAME?</v>
      </c>
      <c r="AA21" t="e">
        <f ca="1"/>
        <v>#NAME?</v>
      </c>
      <c r="AB21" t="e">
        <f ca="1"/>
        <v>#NAME?</v>
      </c>
      <c r="AC21" t="e">
        <f ca="1"/>
        <v>#NAME?</v>
      </c>
      <c r="AD21" t="e">
        <f ca="1"/>
        <v>#NAME?</v>
      </c>
      <c r="AE21" t="e">
        <f ca="1"/>
        <v>#NAME?</v>
      </c>
      <c r="AF21" t="e">
        <f ca="1"/>
        <v>#NAME?</v>
      </c>
      <c r="AG21" t="e">
        <f ca="1"/>
        <v>#NAME?</v>
      </c>
      <c r="AH21" t="e">
        <f ca="1"/>
        <v>#NAME?</v>
      </c>
      <c r="AI21" t="e">
        <f ca="1"/>
        <v>#NAME?</v>
      </c>
      <c r="AJ21" t="e">
        <f ca="1"/>
        <v>#NAME?</v>
      </c>
      <c r="AK21" t="e">
        <f ca="1"/>
        <v>#NAME?</v>
      </c>
      <c r="AL21" t="e">
        <f ca="1"/>
        <v>#NAME?</v>
      </c>
      <c r="AT21" t="e">
        <f ca="1"/>
        <v>#NAME?</v>
      </c>
      <c r="AU21" t="e">
        <f ca="1"/>
        <v>#NAME?</v>
      </c>
      <c r="AV21" t="e">
        <f ca="1"/>
        <v>#NAME?</v>
      </c>
      <c r="AW21" t="e">
        <f ca="1"/>
        <v>#NAME?</v>
      </c>
      <c r="AX21" t="e">
        <f ca="1"/>
        <v>#NAME?</v>
      </c>
    </row>
    <row r="22" spans="1:50" x14ac:dyDescent="0.3">
      <c r="A22" s="1" t="e">
        <f ca="1"/>
        <v>#NAME?</v>
      </c>
      <c r="B22" t="e">
        <f ca="1"/>
        <v>#NAME?</v>
      </c>
      <c r="C22" t="e">
        <f ca="1"/>
        <v>#NAME?</v>
      </c>
      <c r="D22" t="e">
        <f ca="1"/>
        <v>#NAME?</v>
      </c>
      <c r="E22" t="e">
        <f ca="1"/>
        <v>#NAME?</v>
      </c>
      <c r="F22" t="e">
        <f ca="1"/>
        <v>#NAME?</v>
      </c>
      <c r="G22" t="e">
        <f ca="1"/>
        <v>#NAME?</v>
      </c>
      <c r="H22" t="e">
        <f ca="1"/>
        <v>#NAME?</v>
      </c>
      <c r="I22" t="e">
        <f ca="1"/>
        <v>#NAME?</v>
      </c>
      <c r="J22" t="e">
        <f ca="1"/>
        <v>#NAME?</v>
      </c>
      <c r="K22" t="e">
        <f ca="1"/>
        <v>#NAME?</v>
      </c>
      <c r="P22" t="e">
        <f ca="1"/>
        <v>#NAME?</v>
      </c>
      <c r="Q22" t="e">
        <f ca="1"/>
        <v>#NAME?</v>
      </c>
      <c r="R22" t="e">
        <f ca="1"/>
        <v>#NAME?</v>
      </c>
      <c r="S22" t="e">
        <f ca="1"/>
        <v>#NAME?</v>
      </c>
      <c r="T22" t="e">
        <f ca="1"/>
        <v>#NAME?</v>
      </c>
      <c r="U22" t="e">
        <f ca="1"/>
        <v>#NAME?</v>
      </c>
      <c r="V22" t="e">
        <f ca="1"/>
        <v>#NAME?</v>
      </c>
      <c r="W22" t="e">
        <f ca="1"/>
        <v>#NAME?</v>
      </c>
      <c r="X22" t="e">
        <f ca="1"/>
        <v>#NAME?</v>
      </c>
      <c r="Y22" t="e">
        <f ca="1"/>
        <v>#NAME?</v>
      </c>
      <c r="Z22" t="e">
        <f ca="1"/>
        <v>#NAME?</v>
      </c>
      <c r="AA22" t="e">
        <f ca="1"/>
        <v>#NAME?</v>
      </c>
      <c r="AB22" t="e">
        <f ca="1"/>
        <v>#NAME?</v>
      </c>
      <c r="AC22" t="e">
        <f ca="1"/>
        <v>#NAME?</v>
      </c>
      <c r="AD22" t="e">
        <f ca="1"/>
        <v>#NAME?</v>
      </c>
      <c r="AE22" t="e">
        <f ca="1"/>
        <v>#NAME?</v>
      </c>
      <c r="AF22" t="e">
        <f ca="1"/>
        <v>#NAME?</v>
      </c>
      <c r="AG22" t="e">
        <f ca="1"/>
        <v>#NAME?</v>
      </c>
      <c r="AH22" t="e">
        <f ca="1"/>
        <v>#NAME?</v>
      </c>
      <c r="AI22" t="e">
        <f ca="1"/>
        <v>#NAME?</v>
      </c>
      <c r="AJ22" t="e">
        <f ca="1"/>
        <v>#NAME?</v>
      </c>
      <c r="AK22" t="e">
        <f ca="1"/>
        <v>#NAME?</v>
      </c>
      <c r="AL22" t="e">
        <f ca="1"/>
        <v>#NAME?</v>
      </c>
      <c r="AT22" t="e">
        <f ca="1"/>
        <v>#NAME?</v>
      </c>
      <c r="AU22" t="e">
        <f ca="1"/>
        <v>#NAME?</v>
      </c>
      <c r="AV22" t="e">
        <f ca="1"/>
        <v>#NAME?</v>
      </c>
      <c r="AW22" t="e">
        <f ca="1"/>
        <v>#NAME?</v>
      </c>
      <c r="AX22" t="e">
        <f ca="1"/>
        <v>#NAME?</v>
      </c>
    </row>
    <row r="23" spans="1:50" x14ac:dyDescent="0.3">
      <c r="A23" s="1" t="e">
        <f ca="1"/>
        <v>#NAME?</v>
      </c>
      <c r="B23" t="e">
        <f ca="1"/>
        <v>#NAME?</v>
      </c>
      <c r="C23" t="e">
        <f ca="1"/>
        <v>#NAME?</v>
      </c>
      <c r="D23" t="e">
        <f ca="1"/>
        <v>#NAME?</v>
      </c>
      <c r="E23" t="e">
        <f ca="1"/>
        <v>#NAME?</v>
      </c>
      <c r="F23" t="e">
        <f ca="1"/>
        <v>#NAME?</v>
      </c>
      <c r="G23" t="e">
        <f ca="1"/>
        <v>#NAME?</v>
      </c>
      <c r="H23" t="e">
        <f ca="1"/>
        <v>#NAME?</v>
      </c>
      <c r="I23" t="e">
        <f ca="1"/>
        <v>#NAME?</v>
      </c>
      <c r="J23" t="e">
        <f ca="1"/>
        <v>#NAME?</v>
      </c>
      <c r="K23" t="e">
        <f ca="1"/>
        <v>#NAME?</v>
      </c>
      <c r="P23" t="e">
        <f ca="1"/>
        <v>#NAME?</v>
      </c>
      <c r="Q23" t="e">
        <f ca="1"/>
        <v>#NAME?</v>
      </c>
      <c r="R23" t="e">
        <f ca="1"/>
        <v>#NAME?</v>
      </c>
      <c r="S23" t="e">
        <f ca="1"/>
        <v>#NAME?</v>
      </c>
      <c r="T23" t="e">
        <f ca="1"/>
        <v>#NAME?</v>
      </c>
      <c r="U23" t="e">
        <f ca="1"/>
        <v>#NAME?</v>
      </c>
      <c r="V23" t="e">
        <f ca="1"/>
        <v>#NAME?</v>
      </c>
      <c r="W23" t="e">
        <f ca="1"/>
        <v>#NAME?</v>
      </c>
      <c r="X23" t="e">
        <f ca="1"/>
        <v>#NAME?</v>
      </c>
      <c r="Y23" t="e">
        <f ca="1"/>
        <v>#NAME?</v>
      </c>
      <c r="Z23" t="e">
        <f ca="1"/>
        <v>#NAME?</v>
      </c>
      <c r="AA23" t="e">
        <f ca="1"/>
        <v>#NAME?</v>
      </c>
      <c r="AB23" t="e">
        <f ca="1"/>
        <v>#NAME?</v>
      </c>
      <c r="AC23" t="e">
        <f ca="1"/>
        <v>#NAME?</v>
      </c>
      <c r="AD23" t="e">
        <f ca="1"/>
        <v>#NAME?</v>
      </c>
      <c r="AE23" t="e">
        <f ca="1"/>
        <v>#NAME?</v>
      </c>
      <c r="AF23" t="e">
        <f ca="1"/>
        <v>#NAME?</v>
      </c>
      <c r="AG23" t="e">
        <f ca="1"/>
        <v>#NAME?</v>
      </c>
      <c r="AH23" t="e">
        <f ca="1"/>
        <v>#NAME?</v>
      </c>
      <c r="AI23" t="e">
        <f ca="1"/>
        <v>#NAME?</v>
      </c>
      <c r="AJ23" t="e">
        <f ca="1"/>
        <v>#NAME?</v>
      </c>
      <c r="AK23" t="e">
        <f ca="1"/>
        <v>#NAME?</v>
      </c>
      <c r="AL23" t="e">
        <f ca="1"/>
        <v>#NAME?</v>
      </c>
      <c r="AT23" t="e">
        <f ca="1"/>
        <v>#NAME?</v>
      </c>
      <c r="AU23" t="e">
        <f ca="1"/>
        <v>#NAME?</v>
      </c>
      <c r="AV23" t="e">
        <f ca="1"/>
        <v>#NAME?</v>
      </c>
      <c r="AW23" t="e">
        <f ca="1"/>
        <v>#NAME?</v>
      </c>
      <c r="AX23" t="e">
        <f ca="1"/>
        <v>#NAME?</v>
      </c>
    </row>
    <row r="24" spans="1:50" x14ac:dyDescent="0.3">
      <c r="A24" s="1" t="e">
        <f ca="1"/>
        <v>#NAME?</v>
      </c>
      <c r="B24" t="e">
        <f ca="1"/>
        <v>#NAME?</v>
      </c>
      <c r="C24" t="e">
        <f ca="1"/>
        <v>#NAME?</v>
      </c>
      <c r="D24" t="e">
        <f ca="1"/>
        <v>#NAME?</v>
      </c>
      <c r="E24" t="e">
        <f ca="1"/>
        <v>#NAME?</v>
      </c>
      <c r="F24" t="e">
        <f ca="1"/>
        <v>#NAME?</v>
      </c>
      <c r="G24" t="e">
        <f ca="1"/>
        <v>#NAME?</v>
      </c>
      <c r="H24" t="e">
        <f ca="1"/>
        <v>#NAME?</v>
      </c>
      <c r="I24" t="e">
        <f ca="1"/>
        <v>#NAME?</v>
      </c>
      <c r="J24" t="e">
        <f ca="1"/>
        <v>#NAME?</v>
      </c>
      <c r="K24" t="e">
        <f ca="1"/>
        <v>#NAME?</v>
      </c>
      <c r="P24" t="e">
        <f ca="1"/>
        <v>#NAME?</v>
      </c>
      <c r="Q24" t="e">
        <f ca="1"/>
        <v>#NAME?</v>
      </c>
      <c r="R24" t="e">
        <f ca="1"/>
        <v>#NAME?</v>
      </c>
      <c r="S24" t="e">
        <f ca="1"/>
        <v>#NAME?</v>
      </c>
      <c r="T24" t="e">
        <f ca="1"/>
        <v>#NAME?</v>
      </c>
      <c r="U24" t="e">
        <f ca="1"/>
        <v>#NAME?</v>
      </c>
      <c r="V24" t="e">
        <f ca="1"/>
        <v>#NAME?</v>
      </c>
      <c r="W24" t="e">
        <f ca="1"/>
        <v>#NAME?</v>
      </c>
      <c r="X24" t="e">
        <f ca="1"/>
        <v>#NAME?</v>
      </c>
      <c r="Y24" t="e">
        <f ca="1"/>
        <v>#NAME?</v>
      </c>
      <c r="Z24" t="e">
        <f ca="1"/>
        <v>#NAME?</v>
      </c>
      <c r="AA24" t="e">
        <f ca="1"/>
        <v>#NAME?</v>
      </c>
      <c r="AB24" t="e">
        <f ca="1"/>
        <v>#NAME?</v>
      </c>
      <c r="AC24" t="e">
        <f ca="1"/>
        <v>#NAME?</v>
      </c>
      <c r="AD24" t="e">
        <f ca="1"/>
        <v>#NAME?</v>
      </c>
      <c r="AE24" t="e">
        <f ca="1"/>
        <v>#NAME?</v>
      </c>
      <c r="AF24" t="e">
        <f ca="1"/>
        <v>#NAME?</v>
      </c>
      <c r="AG24" t="e">
        <f ca="1"/>
        <v>#NAME?</v>
      </c>
      <c r="AH24" t="e">
        <f ca="1"/>
        <v>#NAME?</v>
      </c>
      <c r="AI24" t="e">
        <f ca="1"/>
        <v>#NAME?</v>
      </c>
      <c r="AJ24" t="e">
        <f ca="1"/>
        <v>#NAME?</v>
      </c>
      <c r="AK24" t="e">
        <f ca="1"/>
        <v>#NAME?</v>
      </c>
      <c r="AL24" t="e">
        <f ca="1"/>
        <v>#NAME?</v>
      </c>
      <c r="AT24" t="e">
        <f ca="1"/>
        <v>#NAME?</v>
      </c>
      <c r="AU24" t="e">
        <f ca="1"/>
        <v>#NAME?</v>
      </c>
      <c r="AV24" t="e">
        <f ca="1"/>
        <v>#NAME?</v>
      </c>
      <c r="AW24" t="e">
        <f ca="1"/>
        <v>#NAME?</v>
      </c>
      <c r="AX24" t="e">
        <f ca="1"/>
        <v>#NAME?</v>
      </c>
    </row>
    <row r="25" spans="1:50" x14ac:dyDescent="0.3">
      <c r="A25" s="1" t="e">
        <f ca="1"/>
        <v>#NAME?</v>
      </c>
      <c r="B25" t="e">
        <f ca="1"/>
        <v>#NAME?</v>
      </c>
      <c r="C25" t="e">
        <f ca="1"/>
        <v>#NAME?</v>
      </c>
      <c r="D25" t="e">
        <f ca="1"/>
        <v>#NAME?</v>
      </c>
      <c r="E25" t="e">
        <f ca="1"/>
        <v>#NAME?</v>
      </c>
      <c r="F25" t="e">
        <f ca="1"/>
        <v>#NAME?</v>
      </c>
      <c r="G25" t="e">
        <f ca="1"/>
        <v>#NAME?</v>
      </c>
      <c r="H25" t="e">
        <f ca="1"/>
        <v>#NAME?</v>
      </c>
      <c r="I25" t="e">
        <f ca="1"/>
        <v>#NAME?</v>
      </c>
      <c r="J25" t="e">
        <f ca="1"/>
        <v>#NAME?</v>
      </c>
      <c r="K25" t="e">
        <f ca="1"/>
        <v>#NAME?</v>
      </c>
      <c r="P25" t="e">
        <f ca="1"/>
        <v>#NAME?</v>
      </c>
      <c r="Q25" t="e">
        <f ca="1"/>
        <v>#NAME?</v>
      </c>
      <c r="R25" t="e">
        <f ca="1"/>
        <v>#NAME?</v>
      </c>
      <c r="S25" t="e">
        <f ca="1"/>
        <v>#NAME?</v>
      </c>
      <c r="T25" t="e">
        <f ca="1"/>
        <v>#NAME?</v>
      </c>
      <c r="U25" t="e">
        <f ca="1"/>
        <v>#NAME?</v>
      </c>
      <c r="V25" t="e">
        <f ca="1"/>
        <v>#NAME?</v>
      </c>
      <c r="W25" t="e">
        <f ca="1"/>
        <v>#NAME?</v>
      </c>
      <c r="X25" t="e">
        <f ca="1"/>
        <v>#NAME?</v>
      </c>
      <c r="Y25" t="e">
        <f ca="1"/>
        <v>#NAME?</v>
      </c>
      <c r="Z25" t="e">
        <f ca="1"/>
        <v>#NAME?</v>
      </c>
      <c r="AA25" t="e">
        <f ca="1"/>
        <v>#NAME?</v>
      </c>
      <c r="AB25" t="e">
        <f ca="1"/>
        <v>#NAME?</v>
      </c>
      <c r="AC25" t="e">
        <f ca="1"/>
        <v>#NAME?</v>
      </c>
      <c r="AD25" t="e">
        <f ca="1"/>
        <v>#NAME?</v>
      </c>
      <c r="AE25" t="e">
        <f ca="1"/>
        <v>#NAME?</v>
      </c>
      <c r="AF25" t="e">
        <f ca="1"/>
        <v>#NAME?</v>
      </c>
      <c r="AG25" t="e">
        <f ca="1"/>
        <v>#NAME?</v>
      </c>
      <c r="AH25" t="e">
        <f ca="1"/>
        <v>#NAME?</v>
      </c>
      <c r="AI25" t="e">
        <f ca="1"/>
        <v>#NAME?</v>
      </c>
      <c r="AJ25" t="e">
        <f ca="1"/>
        <v>#NAME?</v>
      </c>
      <c r="AK25" t="e">
        <f ca="1"/>
        <v>#NAME?</v>
      </c>
      <c r="AL25" t="e">
        <f ca="1"/>
        <v>#NAME?</v>
      </c>
      <c r="AT25" t="e">
        <f ca="1"/>
        <v>#NAME?</v>
      </c>
      <c r="AU25" t="e">
        <f ca="1"/>
        <v>#NAME?</v>
      </c>
      <c r="AV25" t="e">
        <f ca="1"/>
        <v>#NAME?</v>
      </c>
      <c r="AW25" t="e">
        <f ca="1"/>
        <v>#NAME?</v>
      </c>
      <c r="AX25" t="e">
        <f ca="1"/>
        <v>#NAME?</v>
      </c>
    </row>
    <row r="26" spans="1:50" x14ac:dyDescent="0.3">
      <c r="A26" s="1" t="e">
        <f ca="1"/>
        <v>#NAME?</v>
      </c>
      <c r="B26" t="e">
        <f ca="1"/>
        <v>#NAME?</v>
      </c>
      <c r="C26" t="e">
        <f ca="1"/>
        <v>#NAME?</v>
      </c>
      <c r="D26" t="e">
        <f ca="1"/>
        <v>#NAME?</v>
      </c>
      <c r="E26" t="e">
        <f ca="1"/>
        <v>#NAME?</v>
      </c>
      <c r="F26" t="e">
        <f ca="1"/>
        <v>#NAME?</v>
      </c>
      <c r="G26" t="e">
        <f ca="1"/>
        <v>#NAME?</v>
      </c>
      <c r="H26" t="e">
        <f ca="1"/>
        <v>#NAME?</v>
      </c>
      <c r="I26" t="e">
        <f ca="1"/>
        <v>#NAME?</v>
      </c>
      <c r="J26" t="e">
        <f ca="1"/>
        <v>#NAME?</v>
      </c>
      <c r="K26" t="e">
        <f ca="1"/>
        <v>#NAME?</v>
      </c>
      <c r="P26" t="e">
        <f ca="1"/>
        <v>#NAME?</v>
      </c>
      <c r="Q26" t="e">
        <f ca="1"/>
        <v>#NAME?</v>
      </c>
      <c r="R26" t="e">
        <f ca="1"/>
        <v>#NAME?</v>
      </c>
      <c r="S26" t="e">
        <f ca="1"/>
        <v>#NAME?</v>
      </c>
      <c r="T26" t="e">
        <f ca="1"/>
        <v>#NAME?</v>
      </c>
      <c r="U26" t="e">
        <f ca="1"/>
        <v>#NAME?</v>
      </c>
      <c r="V26" t="e">
        <f ca="1"/>
        <v>#NAME?</v>
      </c>
      <c r="W26" t="e">
        <f ca="1"/>
        <v>#NAME?</v>
      </c>
      <c r="X26" t="e">
        <f ca="1"/>
        <v>#NAME?</v>
      </c>
      <c r="Y26" t="e">
        <f ca="1"/>
        <v>#NAME?</v>
      </c>
      <c r="Z26" t="e">
        <f ca="1"/>
        <v>#NAME?</v>
      </c>
      <c r="AA26" t="e">
        <f ca="1"/>
        <v>#NAME?</v>
      </c>
      <c r="AB26" t="e">
        <f ca="1"/>
        <v>#NAME?</v>
      </c>
      <c r="AC26" t="e">
        <f ca="1"/>
        <v>#NAME?</v>
      </c>
      <c r="AD26" t="e">
        <f ca="1"/>
        <v>#NAME?</v>
      </c>
      <c r="AE26" t="e">
        <f ca="1"/>
        <v>#NAME?</v>
      </c>
      <c r="AF26" t="e">
        <f ca="1"/>
        <v>#NAME?</v>
      </c>
      <c r="AG26" t="e">
        <f ca="1"/>
        <v>#NAME?</v>
      </c>
      <c r="AH26" t="e">
        <f ca="1"/>
        <v>#NAME?</v>
      </c>
      <c r="AI26" t="e">
        <f ca="1"/>
        <v>#NAME?</v>
      </c>
      <c r="AJ26" t="e">
        <f ca="1"/>
        <v>#NAME?</v>
      </c>
      <c r="AK26" t="e">
        <f ca="1"/>
        <v>#NAME?</v>
      </c>
      <c r="AL26" t="e">
        <f ca="1"/>
        <v>#NAME?</v>
      </c>
      <c r="AT26" t="e">
        <f ca="1"/>
        <v>#NAME?</v>
      </c>
      <c r="AU26" t="e">
        <f ca="1"/>
        <v>#NAME?</v>
      </c>
      <c r="AV26" t="e">
        <f ca="1"/>
        <v>#NAME?</v>
      </c>
      <c r="AW26" t="e">
        <f ca="1"/>
        <v>#NAME?</v>
      </c>
      <c r="AX26" t="e">
        <f ca="1"/>
        <v>#NAME?</v>
      </c>
    </row>
    <row r="27" spans="1:50" x14ac:dyDescent="0.3">
      <c r="A27" s="1" t="e">
        <f ca="1"/>
        <v>#NAME?</v>
      </c>
      <c r="B27" t="e">
        <f ca="1"/>
        <v>#NAME?</v>
      </c>
      <c r="C27" t="e">
        <f ca="1"/>
        <v>#NAME?</v>
      </c>
      <c r="D27" t="e">
        <f ca="1"/>
        <v>#NAME?</v>
      </c>
      <c r="E27" t="e">
        <f ca="1"/>
        <v>#NAME?</v>
      </c>
      <c r="F27" t="e">
        <f ca="1"/>
        <v>#NAME?</v>
      </c>
      <c r="G27" t="e">
        <f ca="1"/>
        <v>#NAME?</v>
      </c>
      <c r="H27" t="e">
        <f ca="1"/>
        <v>#NAME?</v>
      </c>
      <c r="I27" t="e">
        <f ca="1"/>
        <v>#NAME?</v>
      </c>
      <c r="J27" t="e">
        <f ca="1"/>
        <v>#NAME?</v>
      </c>
      <c r="K27" t="e">
        <f ca="1"/>
        <v>#NAME?</v>
      </c>
      <c r="P27" t="e">
        <f ca="1"/>
        <v>#NAME?</v>
      </c>
      <c r="Q27" t="e">
        <f ca="1"/>
        <v>#NAME?</v>
      </c>
      <c r="R27" t="e">
        <f ca="1"/>
        <v>#NAME?</v>
      </c>
      <c r="S27" t="e">
        <f ca="1"/>
        <v>#NAME?</v>
      </c>
      <c r="T27" t="e">
        <f ca="1"/>
        <v>#NAME?</v>
      </c>
      <c r="U27" t="e">
        <f ca="1"/>
        <v>#NAME?</v>
      </c>
      <c r="V27" t="e">
        <f ca="1"/>
        <v>#NAME?</v>
      </c>
      <c r="W27" t="e">
        <f ca="1"/>
        <v>#NAME?</v>
      </c>
      <c r="X27" t="e">
        <f ca="1"/>
        <v>#NAME?</v>
      </c>
      <c r="Y27" t="e">
        <f ca="1"/>
        <v>#NAME?</v>
      </c>
      <c r="Z27" t="e">
        <f ca="1"/>
        <v>#NAME?</v>
      </c>
      <c r="AA27" t="e">
        <f ca="1"/>
        <v>#NAME?</v>
      </c>
      <c r="AB27" t="e">
        <f ca="1"/>
        <v>#NAME?</v>
      </c>
      <c r="AC27" t="e">
        <f ca="1"/>
        <v>#NAME?</v>
      </c>
      <c r="AD27" t="e">
        <f ca="1"/>
        <v>#NAME?</v>
      </c>
      <c r="AE27" t="e">
        <f ca="1"/>
        <v>#NAME?</v>
      </c>
      <c r="AF27" t="e">
        <f ca="1"/>
        <v>#NAME?</v>
      </c>
      <c r="AG27" t="e">
        <f ca="1"/>
        <v>#NAME?</v>
      </c>
      <c r="AH27" t="e">
        <f ca="1"/>
        <v>#NAME?</v>
      </c>
      <c r="AI27" t="e">
        <f ca="1"/>
        <v>#NAME?</v>
      </c>
      <c r="AJ27" t="e">
        <f ca="1"/>
        <v>#NAME?</v>
      </c>
      <c r="AK27" t="e">
        <f ca="1"/>
        <v>#NAME?</v>
      </c>
      <c r="AL27" t="e">
        <f ca="1"/>
        <v>#NAME?</v>
      </c>
      <c r="AT27" t="e">
        <f ca="1"/>
        <v>#NAME?</v>
      </c>
      <c r="AU27" t="e">
        <f ca="1"/>
        <v>#NAME?</v>
      </c>
      <c r="AV27" t="e">
        <f ca="1"/>
        <v>#NAME?</v>
      </c>
      <c r="AW27" t="e">
        <f ca="1"/>
        <v>#NAME?</v>
      </c>
      <c r="AX27" t="e">
        <f ca="1"/>
        <v>#NAME?</v>
      </c>
    </row>
    <row r="28" spans="1:50" x14ac:dyDescent="0.3">
      <c r="A28" s="1" t="e">
        <f ca="1"/>
        <v>#NAME?</v>
      </c>
      <c r="B28" t="e">
        <f ca="1"/>
        <v>#NAME?</v>
      </c>
      <c r="C28" t="e">
        <f ca="1"/>
        <v>#NAME?</v>
      </c>
      <c r="D28" t="e">
        <f ca="1"/>
        <v>#NAME?</v>
      </c>
      <c r="E28" t="e">
        <f ca="1"/>
        <v>#NAME?</v>
      </c>
      <c r="F28" t="e">
        <f ca="1"/>
        <v>#NAME?</v>
      </c>
      <c r="G28" t="e">
        <f ca="1"/>
        <v>#NAME?</v>
      </c>
      <c r="H28" t="e">
        <f ca="1"/>
        <v>#NAME?</v>
      </c>
      <c r="I28" t="e">
        <f ca="1"/>
        <v>#NAME?</v>
      </c>
      <c r="J28" t="e">
        <f ca="1"/>
        <v>#NAME?</v>
      </c>
      <c r="K28" t="e">
        <f ca="1"/>
        <v>#NAME?</v>
      </c>
      <c r="P28" t="e">
        <f ca="1"/>
        <v>#NAME?</v>
      </c>
      <c r="Q28" t="e">
        <f ca="1"/>
        <v>#NAME?</v>
      </c>
      <c r="R28" t="e">
        <f ca="1"/>
        <v>#NAME?</v>
      </c>
      <c r="S28" t="e">
        <f ca="1"/>
        <v>#NAME?</v>
      </c>
      <c r="T28" t="e">
        <f ca="1"/>
        <v>#NAME?</v>
      </c>
      <c r="U28" t="e">
        <f ca="1"/>
        <v>#NAME?</v>
      </c>
      <c r="V28" t="e">
        <f ca="1"/>
        <v>#NAME?</v>
      </c>
      <c r="W28" t="e">
        <f ca="1"/>
        <v>#NAME?</v>
      </c>
      <c r="X28" t="e">
        <f ca="1"/>
        <v>#NAME?</v>
      </c>
      <c r="Y28" t="e">
        <f ca="1"/>
        <v>#NAME?</v>
      </c>
      <c r="Z28" t="e">
        <f ca="1"/>
        <v>#NAME?</v>
      </c>
      <c r="AA28" t="e">
        <f ca="1"/>
        <v>#NAME?</v>
      </c>
      <c r="AB28" t="e">
        <f ca="1"/>
        <v>#NAME?</v>
      </c>
      <c r="AC28" t="e">
        <f ca="1"/>
        <v>#NAME?</v>
      </c>
      <c r="AD28" t="e">
        <f ca="1"/>
        <v>#NAME?</v>
      </c>
      <c r="AE28" t="e">
        <f ca="1"/>
        <v>#NAME?</v>
      </c>
      <c r="AF28" t="e">
        <f ca="1"/>
        <v>#NAME?</v>
      </c>
      <c r="AG28" t="e">
        <f ca="1"/>
        <v>#NAME?</v>
      </c>
      <c r="AH28" t="e">
        <f ca="1"/>
        <v>#NAME?</v>
      </c>
      <c r="AI28" t="e">
        <f ca="1"/>
        <v>#NAME?</v>
      </c>
      <c r="AJ28" t="e">
        <f ca="1"/>
        <v>#NAME?</v>
      </c>
      <c r="AK28" t="e">
        <f ca="1"/>
        <v>#NAME?</v>
      </c>
      <c r="AL28" t="e">
        <f ca="1"/>
        <v>#NAME?</v>
      </c>
      <c r="AT28" t="e">
        <f ca="1"/>
        <v>#NAME?</v>
      </c>
      <c r="AU28" t="e">
        <f ca="1"/>
        <v>#NAME?</v>
      </c>
      <c r="AV28" t="e">
        <f ca="1"/>
        <v>#NAME?</v>
      </c>
      <c r="AW28" t="e">
        <f ca="1"/>
        <v>#NAME?</v>
      </c>
      <c r="AX28" t="e">
        <f ca="1"/>
        <v>#NAME?</v>
      </c>
    </row>
    <row r="29" spans="1:50" x14ac:dyDescent="0.3">
      <c r="A29" s="1" t="e">
        <f ca="1"/>
        <v>#NAME?</v>
      </c>
      <c r="B29" t="e">
        <f ca="1"/>
        <v>#NAME?</v>
      </c>
      <c r="C29" t="e">
        <f ca="1"/>
        <v>#NAME?</v>
      </c>
      <c r="D29" t="e">
        <f ca="1"/>
        <v>#NAME?</v>
      </c>
      <c r="E29" t="e">
        <f ca="1"/>
        <v>#NAME?</v>
      </c>
      <c r="F29" t="e">
        <f ca="1"/>
        <v>#NAME?</v>
      </c>
      <c r="G29" t="e">
        <f ca="1"/>
        <v>#NAME?</v>
      </c>
      <c r="H29" t="e">
        <f ca="1"/>
        <v>#NAME?</v>
      </c>
      <c r="I29" t="e">
        <f ca="1"/>
        <v>#NAME?</v>
      </c>
      <c r="J29" t="e">
        <f ca="1"/>
        <v>#NAME?</v>
      </c>
      <c r="K29" t="e">
        <f ca="1"/>
        <v>#NAME?</v>
      </c>
      <c r="P29" t="e">
        <f ca="1"/>
        <v>#NAME?</v>
      </c>
      <c r="Q29" t="e">
        <f ca="1"/>
        <v>#NAME?</v>
      </c>
      <c r="R29" t="e">
        <f ca="1"/>
        <v>#NAME?</v>
      </c>
      <c r="S29" t="e">
        <f ca="1"/>
        <v>#NAME?</v>
      </c>
      <c r="T29" t="e">
        <f ca="1"/>
        <v>#NAME?</v>
      </c>
      <c r="U29" t="e">
        <f ca="1"/>
        <v>#NAME?</v>
      </c>
      <c r="V29" t="e">
        <f ca="1"/>
        <v>#NAME?</v>
      </c>
      <c r="W29" t="e">
        <f ca="1"/>
        <v>#NAME?</v>
      </c>
      <c r="X29" t="e">
        <f ca="1"/>
        <v>#NAME?</v>
      </c>
      <c r="Y29" t="e">
        <f ca="1"/>
        <v>#NAME?</v>
      </c>
      <c r="Z29" t="e">
        <f ca="1"/>
        <v>#NAME?</v>
      </c>
      <c r="AA29" t="e">
        <f ca="1"/>
        <v>#NAME?</v>
      </c>
      <c r="AB29" t="e">
        <f ca="1"/>
        <v>#NAME?</v>
      </c>
      <c r="AC29" t="e">
        <f ca="1"/>
        <v>#NAME?</v>
      </c>
      <c r="AD29" t="e">
        <f ca="1"/>
        <v>#NAME?</v>
      </c>
      <c r="AE29" t="e">
        <f ca="1"/>
        <v>#NAME?</v>
      </c>
      <c r="AF29" t="e">
        <f ca="1"/>
        <v>#NAME?</v>
      </c>
      <c r="AG29" t="e">
        <f ca="1"/>
        <v>#NAME?</v>
      </c>
      <c r="AH29" t="e">
        <f ca="1"/>
        <v>#NAME?</v>
      </c>
      <c r="AI29" t="e">
        <f ca="1"/>
        <v>#NAME?</v>
      </c>
      <c r="AJ29" t="e">
        <f ca="1"/>
        <v>#NAME?</v>
      </c>
      <c r="AK29" t="e">
        <f ca="1"/>
        <v>#NAME?</v>
      </c>
      <c r="AL29" t="e">
        <f ca="1"/>
        <v>#NAME?</v>
      </c>
      <c r="AT29" t="e">
        <f ca="1"/>
        <v>#NAME?</v>
      </c>
      <c r="AU29" t="e">
        <f ca="1"/>
        <v>#NAME?</v>
      </c>
      <c r="AV29" t="e">
        <f ca="1"/>
        <v>#NAME?</v>
      </c>
      <c r="AW29" t="e">
        <f ca="1"/>
        <v>#NAME?</v>
      </c>
      <c r="AX29" t="e">
        <f ca="1"/>
        <v>#NAME?</v>
      </c>
    </row>
    <row r="30" spans="1:50" x14ac:dyDescent="0.3">
      <c r="A30" s="1" t="e">
        <f ca="1"/>
        <v>#NAME?</v>
      </c>
      <c r="B30" t="e">
        <f ca="1"/>
        <v>#NAME?</v>
      </c>
      <c r="C30" t="e">
        <f ca="1"/>
        <v>#NAME?</v>
      </c>
      <c r="D30" t="e">
        <f ca="1"/>
        <v>#NAME?</v>
      </c>
      <c r="E30" t="e">
        <f ca="1"/>
        <v>#NAME?</v>
      </c>
      <c r="F30" t="e">
        <f ca="1"/>
        <v>#NAME?</v>
      </c>
      <c r="G30" t="e">
        <f ca="1"/>
        <v>#NAME?</v>
      </c>
      <c r="H30" t="e">
        <f ca="1"/>
        <v>#NAME?</v>
      </c>
      <c r="I30" t="e">
        <f ca="1"/>
        <v>#NAME?</v>
      </c>
      <c r="J30" t="e">
        <f ca="1"/>
        <v>#NAME?</v>
      </c>
      <c r="K30" t="e">
        <f ca="1"/>
        <v>#NAME?</v>
      </c>
      <c r="P30" t="e">
        <f ca="1"/>
        <v>#NAME?</v>
      </c>
      <c r="Q30" t="e">
        <f ca="1"/>
        <v>#NAME?</v>
      </c>
      <c r="R30" t="e">
        <f ca="1"/>
        <v>#NAME?</v>
      </c>
      <c r="S30" t="e">
        <f ca="1"/>
        <v>#NAME?</v>
      </c>
      <c r="T30" t="e">
        <f ca="1"/>
        <v>#NAME?</v>
      </c>
      <c r="U30" t="e">
        <f ca="1"/>
        <v>#NAME?</v>
      </c>
      <c r="V30" t="e">
        <f ca="1"/>
        <v>#NAME?</v>
      </c>
      <c r="W30" t="e">
        <f ca="1"/>
        <v>#NAME?</v>
      </c>
      <c r="X30" t="e">
        <f ca="1"/>
        <v>#NAME?</v>
      </c>
      <c r="Y30" t="e">
        <f ca="1"/>
        <v>#NAME?</v>
      </c>
      <c r="Z30" t="e">
        <f ca="1"/>
        <v>#NAME?</v>
      </c>
      <c r="AA30" t="e">
        <f ca="1"/>
        <v>#NAME?</v>
      </c>
      <c r="AB30" t="e">
        <f ca="1"/>
        <v>#NAME?</v>
      </c>
      <c r="AC30" t="e">
        <f ca="1"/>
        <v>#NAME?</v>
      </c>
      <c r="AD30" t="e">
        <f ca="1"/>
        <v>#NAME?</v>
      </c>
      <c r="AE30" t="e">
        <f ca="1"/>
        <v>#NAME?</v>
      </c>
      <c r="AF30" t="e">
        <f ca="1"/>
        <v>#NAME?</v>
      </c>
      <c r="AG30" t="e">
        <f ca="1"/>
        <v>#NAME?</v>
      </c>
      <c r="AH30" t="e">
        <f ca="1"/>
        <v>#NAME?</v>
      </c>
      <c r="AI30" t="e">
        <f ca="1"/>
        <v>#NAME?</v>
      </c>
      <c r="AJ30" t="e">
        <f ca="1"/>
        <v>#NAME?</v>
      </c>
      <c r="AK30" t="e">
        <f ca="1"/>
        <v>#NAME?</v>
      </c>
      <c r="AL30" t="e">
        <f ca="1"/>
        <v>#NAME?</v>
      </c>
      <c r="AT30" t="e">
        <f ca="1"/>
        <v>#NAME?</v>
      </c>
      <c r="AU30" t="e">
        <f ca="1"/>
        <v>#NAME?</v>
      </c>
      <c r="AV30" t="e">
        <f ca="1"/>
        <v>#NAME?</v>
      </c>
      <c r="AW30" t="e">
        <f ca="1"/>
        <v>#NAME?</v>
      </c>
      <c r="AX30" t="e">
        <f ca="1"/>
        <v>#NAME?</v>
      </c>
    </row>
    <row r="31" spans="1:50" x14ac:dyDescent="0.3">
      <c r="A31" s="1" t="e">
        <f ca="1"/>
        <v>#NAME?</v>
      </c>
      <c r="B31" t="e">
        <f ca="1"/>
        <v>#NAME?</v>
      </c>
      <c r="C31" t="e">
        <f ca="1"/>
        <v>#NAME?</v>
      </c>
      <c r="D31" t="e">
        <f ca="1"/>
        <v>#NAME?</v>
      </c>
      <c r="E31" t="e">
        <f ca="1"/>
        <v>#NAME?</v>
      </c>
      <c r="F31" t="e">
        <f ca="1"/>
        <v>#NAME?</v>
      </c>
      <c r="G31" t="e">
        <f ca="1"/>
        <v>#NAME?</v>
      </c>
      <c r="H31" t="e">
        <f ca="1"/>
        <v>#NAME?</v>
      </c>
      <c r="I31" t="e">
        <f ca="1"/>
        <v>#NAME?</v>
      </c>
      <c r="J31" t="e">
        <f ca="1"/>
        <v>#NAME?</v>
      </c>
      <c r="K31" t="e">
        <f ca="1"/>
        <v>#NAME?</v>
      </c>
      <c r="P31" t="e">
        <f ca="1"/>
        <v>#NAME?</v>
      </c>
      <c r="Q31" t="e">
        <f ca="1"/>
        <v>#NAME?</v>
      </c>
      <c r="R31" t="e">
        <f ca="1"/>
        <v>#NAME?</v>
      </c>
      <c r="S31" t="e">
        <f ca="1"/>
        <v>#NAME?</v>
      </c>
      <c r="T31" t="e">
        <f ca="1"/>
        <v>#NAME?</v>
      </c>
      <c r="U31" t="e">
        <f ca="1"/>
        <v>#NAME?</v>
      </c>
      <c r="V31" t="e">
        <f ca="1"/>
        <v>#NAME?</v>
      </c>
      <c r="W31" t="e">
        <f ca="1"/>
        <v>#NAME?</v>
      </c>
      <c r="X31" t="e">
        <f ca="1"/>
        <v>#NAME?</v>
      </c>
      <c r="Y31" t="e">
        <f ca="1"/>
        <v>#NAME?</v>
      </c>
      <c r="Z31" t="e">
        <f ca="1"/>
        <v>#NAME?</v>
      </c>
      <c r="AA31" t="e">
        <f ca="1"/>
        <v>#NAME?</v>
      </c>
      <c r="AB31" t="e">
        <f ca="1"/>
        <v>#NAME?</v>
      </c>
      <c r="AC31" t="e">
        <f ca="1"/>
        <v>#NAME?</v>
      </c>
      <c r="AD31" t="e">
        <f ca="1"/>
        <v>#NAME?</v>
      </c>
      <c r="AE31" t="e">
        <f ca="1"/>
        <v>#NAME?</v>
      </c>
      <c r="AF31" t="e">
        <f ca="1"/>
        <v>#NAME?</v>
      </c>
      <c r="AG31" t="e">
        <f ca="1"/>
        <v>#NAME?</v>
      </c>
      <c r="AH31" t="e">
        <f ca="1"/>
        <v>#NAME?</v>
      </c>
      <c r="AI31" t="e">
        <f ca="1"/>
        <v>#NAME?</v>
      </c>
      <c r="AJ31" t="e">
        <f ca="1"/>
        <v>#NAME?</v>
      </c>
      <c r="AK31" t="e">
        <f ca="1"/>
        <v>#NAME?</v>
      </c>
      <c r="AL31" t="e">
        <f ca="1"/>
        <v>#NAME?</v>
      </c>
      <c r="AT31" t="e">
        <f ca="1"/>
        <v>#NAME?</v>
      </c>
      <c r="AU31" t="e">
        <f ca="1"/>
        <v>#NAME?</v>
      </c>
      <c r="AV31" t="e">
        <f ca="1"/>
        <v>#NAME?</v>
      </c>
      <c r="AW31" t="e">
        <f ca="1"/>
        <v>#NAME?</v>
      </c>
      <c r="AX31" t="e">
        <f ca="1"/>
        <v>#NAME?</v>
      </c>
    </row>
    <row r="32" spans="1:50" x14ac:dyDescent="0.3">
      <c r="A32" s="1" t="e">
        <f ca="1"/>
        <v>#NAME?</v>
      </c>
      <c r="B32" t="e">
        <f ca="1"/>
        <v>#NAME?</v>
      </c>
      <c r="C32" t="e">
        <f ca="1"/>
        <v>#NAME?</v>
      </c>
      <c r="D32" t="e">
        <f ca="1"/>
        <v>#NAME?</v>
      </c>
      <c r="E32" t="e">
        <f ca="1"/>
        <v>#NAME?</v>
      </c>
      <c r="F32" t="e">
        <f ca="1"/>
        <v>#NAME?</v>
      </c>
      <c r="G32" t="e">
        <f ca="1"/>
        <v>#NAME?</v>
      </c>
      <c r="H32" t="e">
        <f ca="1"/>
        <v>#NAME?</v>
      </c>
      <c r="I32" t="e">
        <f ca="1"/>
        <v>#NAME?</v>
      </c>
      <c r="J32" t="e">
        <f ca="1"/>
        <v>#NAME?</v>
      </c>
      <c r="K32" t="e">
        <f ca="1"/>
        <v>#NAME?</v>
      </c>
      <c r="P32" t="e">
        <f ca="1"/>
        <v>#NAME?</v>
      </c>
      <c r="Q32" t="e">
        <f ca="1"/>
        <v>#NAME?</v>
      </c>
      <c r="R32" t="e">
        <f ca="1"/>
        <v>#NAME?</v>
      </c>
      <c r="S32" t="e">
        <f ca="1"/>
        <v>#NAME?</v>
      </c>
      <c r="T32" t="e">
        <f ca="1"/>
        <v>#NAME?</v>
      </c>
      <c r="U32" t="e">
        <f ca="1"/>
        <v>#NAME?</v>
      </c>
      <c r="V32" t="e">
        <f ca="1"/>
        <v>#NAME?</v>
      </c>
      <c r="W32" t="e">
        <f ca="1"/>
        <v>#NAME?</v>
      </c>
      <c r="X32" t="e">
        <f ca="1"/>
        <v>#NAME?</v>
      </c>
      <c r="Y32" t="e">
        <f ca="1"/>
        <v>#NAME?</v>
      </c>
      <c r="Z32" t="e">
        <f ca="1"/>
        <v>#NAME?</v>
      </c>
      <c r="AA32" t="e">
        <f ca="1"/>
        <v>#NAME?</v>
      </c>
      <c r="AB32" t="e">
        <f ca="1"/>
        <v>#NAME?</v>
      </c>
      <c r="AC32" t="e">
        <f ca="1"/>
        <v>#NAME?</v>
      </c>
      <c r="AD32" t="e">
        <f ca="1"/>
        <v>#NAME?</v>
      </c>
      <c r="AE32" t="e">
        <f ca="1"/>
        <v>#NAME?</v>
      </c>
      <c r="AF32" t="e">
        <f ca="1"/>
        <v>#NAME?</v>
      </c>
      <c r="AG32" t="e">
        <f ca="1"/>
        <v>#NAME?</v>
      </c>
      <c r="AH32" t="e">
        <f ca="1"/>
        <v>#NAME?</v>
      </c>
      <c r="AI32" t="e">
        <f ca="1"/>
        <v>#NAME?</v>
      </c>
      <c r="AJ32" t="e">
        <f ca="1"/>
        <v>#NAME?</v>
      </c>
      <c r="AK32" t="e">
        <f ca="1"/>
        <v>#NAME?</v>
      </c>
      <c r="AL32" t="e">
        <f ca="1"/>
        <v>#NAME?</v>
      </c>
      <c r="AT32" t="e">
        <f ca="1"/>
        <v>#NAME?</v>
      </c>
      <c r="AU32" t="e">
        <f ca="1"/>
        <v>#NAME?</v>
      </c>
      <c r="AV32" t="e">
        <f ca="1"/>
        <v>#NAME?</v>
      </c>
      <c r="AW32" t="e">
        <f ca="1"/>
        <v>#NAME?</v>
      </c>
      <c r="AX32" t="e">
        <f ca="1"/>
        <v>#NAME?</v>
      </c>
    </row>
    <row r="33" spans="1:50" x14ac:dyDescent="0.3">
      <c r="A33" s="1" t="e">
        <f ca="1"/>
        <v>#NAME?</v>
      </c>
      <c r="B33" t="e">
        <f ca="1"/>
        <v>#NAME?</v>
      </c>
      <c r="C33" t="e">
        <f ca="1"/>
        <v>#NAME?</v>
      </c>
      <c r="D33" t="e">
        <f ca="1"/>
        <v>#NAME?</v>
      </c>
      <c r="E33" t="e">
        <f ca="1"/>
        <v>#NAME?</v>
      </c>
      <c r="F33" t="e">
        <f ca="1"/>
        <v>#NAME?</v>
      </c>
      <c r="G33" t="e">
        <f ca="1"/>
        <v>#NAME?</v>
      </c>
      <c r="H33" t="e">
        <f ca="1"/>
        <v>#NAME?</v>
      </c>
      <c r="I33" t="e">
        <f ca="1"/>
        <v>#NAME?</v>
      </c>
      <c r="J33" t="e">
        <f ca="1"/>
        <v>#NAME?</v>
      </c>
      <c r="K33" t="e">
        <f ca="1"/>
        <v>#NAME?</v>
      </c>
      <c r="P33" t="e">
        <f ca="1"/>
        <v>#NAME?</v>
      </c>
      <c r="Q33" t="e">
        <f ca="1"/>
        <v>#NAME?</v>
      </c>
      <c r="R33" t="e">
        <f ca="1"/>
        <v>#NAME?</v>
      </c>
      <c r="S33" t="e">
        <f ca="1"/>
        <v>#NAME?</v>
      </c>
      <c r="T33" t="e">
        <f ca="1"/>
        <v>#NAME?</v>
      </c>
      <c r="U33" t="e">
        <f ca="1"/>
        <v>#NAME?</v>
      </c>
      <c r="V33" t="e">
        <f ca="1"/>
        <v>#NAME?</v>
      </c>
      <c r="W33" t="e">
        <f ca="1"/>
        <v>#NAME?</v>
      </c>
      <c r="X33" t="e">
        <f ca="1"/>
        <v>#NAME?</v>
      </c>
      <c r="Y33" t="e">
        <f ca="1"/>
        <v>#NAME?</v>
      </c>
      <c r="Z33" t="e">
        <f ca="1"/>
        <v>#NAME?</v>
      </c>
      <c r="AA33" t="e">
        <f ca="1"/>
        <v>#NAME?</v>
      </c>
      <c r="AB33" t="e">
        <f ca="1"/>
        <v>#NAME?</v>
      </c>
      <c r="AC33" t="e">
        <f ca="1"/>
        <v>#NAME?</v>
      </c>
      <c r="AD33" t="e">
        <f ca="1"/>
        <v>#NAME?</v>
      </c>
      <c r="AE33" t="e">
        <f ca="1"/>
        <v>#NAME?</v>
      </c>
      <c r="AF33" t="e">
        <f ca="1"/>
        <v>#NAME?</v>
      </c>
      <c r="AG33" t="e">
        <f ca="1"/>
        <v>#NAME?</v>
      </c>
      <c r="AH33" t="e">
        <f ca="1"/>
        <v>#NAME?</v>
      </c>
      <c r="AI33" t="e">
        <f ca="1"/>
        <v>#NAME?</v>
      </c>
      <c r="AJ33" t="e">
        <f ca="1"/>
        <v>#NAME?</v>
      </c>
      <c r="AK33" t="e">
        <f ca="1"/>
        <v>#NAME?</v>
      </c>
      <c r="AL33" t="e">
        <f ca="1"/>
        <v>#NAME?</v>
      </c>
      <c r="AT33" t="e">
        <f ca="1"/>
        <v>#NAME?</v>
      </c>
      <c r="AU33" t="e">
        <f ca="1"/>
        <v>#NAME?</v>
      </c>
      <c r="AV33" t="e">
        <f ca="1"/>
        <v>#NAME?</v>
      </c>
      <c r="AW33" t="e">
        <f ca="1"/>
        <v>#NAME?</v>
      </c>
      <c r="AX33" t="e">
        <f ca="1"/>
        <v>#NAME?</v>
      </c>
    </row>
    <row r="34" spans="1:50" x14ac:dyDescent="0.3">
      <c r="A34" s="1" t="e">
        <f ca="1"/>
        <v>#NAME?</v>
      </c>
      <c r="B34" t="e">
        <f ca="1"/>
        <v>#NAME?</v>
      </c>
      <c r="C34" t="e">
        <f ca="1"/>
        <v>#NAME?</v>
      </c>
      <c r="D34" t="e">
        <f ca="1"/>
        <v>#NAME?</v>
      </c>
      <c r="E34" t="e">
        <f ca="1"/>
        <v>#NAME?</v>
      </c>
      <c r="F34" t="e">
        <f ca="1"/>
        <v>#NAME?</v>
      </c>
      <c r="G34" t="e">
        <f ca="1"/>
        <v>#NAME?</v>
      </c>
      <c r="H34" t="e">
        <f ca="1"/>
        <v>#NAME?</v>
      </c>
      <c r="I34" t="e">
        <f ca="1"/>
        <v>#NAME?</v>
      </c>
      <c r="J34" t="e">
        <f ca="1"/>
        <v>#NAME?</v>
      </c>
      <c r="K34" t="e">
        <f ca="1"/>
        <v>#NAME?</v>
      </c>
      <c r="P34" t="e">
        <f ca="1"/>
        <v>#NAME?</v>
      </c>
      <c r="Q34" t="e">
        <f ca="1"/>
        <v>#NAME?</v>
      </c>
      <c r="R34" t="e">
        <f ca="1"/>
        <v>#NAME?</v>
      </c>
      <c r="S34" t="e">
        <f ca="1"/>
        <v>#NAME?</v>
      </c>
      <c r="T34" t="e">
        <f ca="1"/>
        <v>#NAME?</v>
      </c>
      <c r="U34" t="e">
        <f ca="1"/>
        <v>#NAME?</v>
      </c>
      <c r="V34" t="e">
        <f ca="1"/>
        <v>#NAME?</v>
      </c>
      <c r="W34" t="e">
        <f ca="1"/>
        <v>#NAME?</v>
      </c>
      <c r="X34" t="e">
        <f ca="1"/>
        <v>#NAME?</v>
      </c>
      <c r="Y34" t="e">
        <f ca="1"/>
        <v>#NAME?</v>
      </c>
      <c r="Z34" t="e">
        <f ca="1"/>
        <v>#NAME?</v>
      </c>
      <c r="AA34" t="e">
        <f ca="1"/>
        <v>#NAME?</v>
      </c>
      <c r="AB34" t="e">
        <f ca="1"/>
        <v>#NAME?</v>
      </c>
      <c r="AC34" t="e">
        <f ca="1"/>
        <v>#NAME?</v>
      </c>
      <c r="AD34" t="e">
        <f ca="1"/>
        <v>#NAME?</v>
      </c>
      <c r="AE34" t="e">
        <f ca="1"/>
        <v>#NAME?</v>
      </c>
      <c r="AF34" t="e">
        <f ca="1"/>
        <v>#NAME?</v>
      </c>
      <c r="AG34" t="e">
        <f ca="1"/>
        <v>#NAME?</v>
      </c>
      <c r="AH34" t="e">
        <f ca="1"/>
        <v>#NAME?</v>
      </c>
      <c r="AI34" t="e">
        <f ca="1"/>
        <v>#NAME?</v>
      </c>
      <c r="AJ34" t="e">
        <f ca="1"/>
        <v>#NAME?</v>
      </c>
      <c r="AK34" t="e">
        <f ca="1"/>
        <v>#NAME?</v>
      </c>
      <c r="AL34" t="e">
        <f ca="1"/>
        <v>#NAME?</v>
      </c>
      <c r="AT34" t="e">
        <f ca="1"/>
        <v>#NAME?</v>
      </c>
      <c r="AU34" t="e">
        <f ca="1"/>
        <v>#NAME?</v>
      </c>
      <c r="AV34" t="e">
        <f ca="1"/>
        <v>#NAME?</v>
      </c>
      <c r="AW34" t="e">
        <f ca="1"/>
        <v>#NAME?</v>
      </c>
      <c r="AX34" t="e">
        <f ca="1"/>
        <v>#NAME?</v>
      </c>
    </row>
    <row r="35" spans="1:50" x14ac:dyDescent="0.3">
      <c r="A35" s="1" t="e">
        <f ca="1"/>
        <v>#NAME?</v>
      </c>
      <c r="B35" t="e">
        <f ca="1"/>
        <v>#NAME?</v>
      </c>
      <c r="C35" t="e">
        <f ca="1"/>
        <v>#NAME?</v>
      </c>
      <c r="D35" t="e">
        <f ca="1"/>
        <v>#NAME?</v>
      </c>
      <c r="E35" t="e">
        <f ca="1"/>
        <v>#NAME?</v>
      </c>
      <c r="F35" t="e">
        <f ca="1"/>
        <v>#NAME?</v>
      </c>
      <c r="G35" t="e">
        <f ca="1"/>
        <v>#NAME?</v>
      </c>
      <c r="H35" t="e">
        <f ca="1"/>
        <v>#NAME?</v>
      </c>
      <c r="I35" t="e">
        <f ca="1"/>
        <v>#NAME?</v>
      </c>
      <c r="J35" t="e">
        <f ca="1"/>
        <v>#NAME?</v>
      </c>
      <c r="K35" t="e">
        <f ca="1"/>
        <v>#NAME?</v>
      </c>
      <c r="P35" t="e">
        <f ca="1"/>
        <v>#NAME?</v>
      </c>
      <c r="Q35" t="e">
        <f ca="1"/>
        <v>#NAME?</v>
      </c>
      <c r="R35" t="e">
        <f ca="1"/>
        <v>#NAME?</v>
      </c>
      <c r="S35" t="e">
        <f ca="1"/>
        <v>#NAME?</v>
      </c>
      <c r="T35" t="e">
        <f ca="1"/>
        <v>#NAME?</v>
      </c>
      <c r="U35" t="e">
        <f ca="1"/>
        <v>#NAME?</v>
      </c>
      <c r="V35" t="e">
        <f ca="1"/>
        <v>#NAME?</v>
      </c>
      <c r="W35" t="e">
        <f ca="1"/>
        <v>#NAME?</v>
      </c>
      <c r="X35" t="e">
        <f ca="1"/>
        <v>#NAME?</v>
      </c>
      <c r="Y35" t="e">
        <f ca="1"/>
        <v>#NAME?</v>
      </c>
      <c r="Z35" t="e">
        <f ca="1"/>
        <v>#NAME?</v>
      </c>
      <c r="AA35" t="e">
        <f ca="1"/>
        <v>#NAME?</v>
      </c>
      <c r="AB35" t="e">
        <f ca="1"/>
        <v>#NAME?</v>
      </c>
      <c r="AC35" t="e">
        <f ca="1"/>
        <v>#NAME?</v>
      </c>
      <c r="AD35" t="e">
        <f ca="1"/>
        <v>#NAME?</v>
      </c>
      <c r="AE35" t="e">
        <f ca="1"/>
        <v>#NAME?</v>
      </c>
      <c r="AF35" t="e">
        <f ca="1"/>
        <v>#NAME?</v>
      </c>
      <c r="AG35" t="e">
        <f ca="1"/>
        <v>#NAME?</v>
      </c>
      <c r="AH35" t="e">
        <f ca="1"/>
        <v>#NAME?</v>
      </c>
      <c r="AI35" t="e">
        <f ca="1"/>
        <v>#NAME?</v>
      </c>
      <c r="AJ35" t="e">
        <f ca="1"/>
        <v>#NAME?</v>
      </c>
      <c r="AK35" t="e">
        <f ca="1"/>
        <v>#NAME?</v>
      </c>
      <c r="AL35" t="e">
        <f ca="1"/>
        <v>#NAME?</v>
      </c>
      <c r="AT35" t="e">
        <f ca="1"/>
        <v>#NAME?</v>
      </c>
      <c r="AU35" t="e">
        <f ca="1"/>
        <v>#NAME?</v>
      </c>
      <c r="AV35" t="e">
        <f ca="1"/>
        <v>#NAME?</v>
      </c>
      <c r="AW35" t="e">
        <f ca="1"/>
        <v>#NAME?</v>
      </c>
      <c r="AX35" t="e">
        <f ca="1"/>
        <v>#NAME?</v>
      </c>
    </row>
    <row r="36" spans="1:50" x14ac:dyDescent="0.3">
      <c r="A36" s="1" t="e">
        <f ca="1"/>
        <v>#NAME?</v>
      </c>
      <c r="B36" t="e">
        <f ca="1"/>
        <v>#NAME?</v>
      </c>
      <c r="H36" t="e">
        <f ca="1"/>
        <v>#NAME?</v>
      </c>
      <c r="I36" t="e">
        <f ca="1"/>
        <v>#NAME?</v>
      </c>
      <c r="J36" t="e">
        <f ca="1"/>
        <v>#NAME?</v>
      </c>
      <c r="K36" t="e">
        <f ca="1"/>
        <v>#NAME?</v>
      </c>
      <c r="V36" t="e">
        <f ca="1"/>
        <v>#NAME?</v>
      </c>
      <c r="W36" t="e">
        <f ca="1"/>
        <v>#NAME?</v>
      </c>
      <c r="X36" t="e">
        <f ca="1"/>
        <v>#NAME?</v>
      </c>
      <c r="Y36" t="e">
        <f ca="1"/>
        <v>#NAME?</v>
      </c>
      <c r="Z36" t="e">
        <f ca="1"/>
        <v>#NAME?</v>
      </c>
      <c r="AA36" t="e">
        <f ca="1"/>
        <v>#NAME?</v>
      </c>
      <c r="AB36" t="e">
        <f ca="1"/>
        <v>#NAME?</v>
      </c>
      <c r="AF36" t="e">
        <f ca="1"/>
        <v>#NAME?</v>
      </c>
      <c r="AX36" t="e">
        <f ca="1"/>
        <v>#NAME?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32"/>
  <sheetViews>
    <sheetView tabSelected="1" topLeftCell="AA1" workbookViewId="0">
      <selection activeCell="AP7" sqref="AP7"/>
    </sheetView>
  </sheetViews>
  <sheetFormatPr defaultRowHeight="14.4" x14ac:dyDescent="0.3"/>
  <cols>
    <col min="1" max="1" width="22" customWidth="1"/>
    <col min="2" max="2" width="13.5546875" customWidth="1"/>
    <col min="24" max="24" width="12.88671875" customWidth="1"/>
    <col min="25" max="25" width="16.77734375" customWidth="1"/>
    <col min="26" max="26" width="22.109375" customWidth="1"/>
    <col min="27" max="27" width="16.77734375" customWidth="1"/>
    <col min="37" max="37" width="15.44140625" customWidth="1"/>
    <col min="51" max="51" width="17.6640625" bestFit="1" customWidth="1"/>
  </cols>
  <sheetData>
    <row r="1" spans="1:56" s="4" customFormat="1" x14ac:dyDescent="0.3">
      <c r="A1" s="3" t="s">
        <v>0</v>
      </c>
      <c r="B1" s="3" t="s">
        <v>64</v>
      </c>
      <c r="C1" s="2" t="s">
        <v>1</v>
      </c>
      <c r="D1" s="2" t="s">
        <v>31</v>
      </c>
      <c r="E1" s="2" t="s">
        <v>2</v>
      </c>
      <c r="F1" s="2" t="s">
        <v>67</v>
      </c>
      <c r="G1" s="2" t="s">
        <v>4</v>
      </c>
      <c r="H1" s="2" t="s">
        <v>33</v>
      </c>
      <c r="I1" s="2" t="s">
        <v>32</v>
      </c>
      <c r="J1" s="2" t="s">
        <v>34</v>
      </c>
      <c r="K1" s="2" t="s">
        <v>35</v>
      </c>
      <c r="L1" s="2" t="s">
        <v>10</v>
      </c>
      <c r="M1" s="2" t="s">
        <v>37</v>
      </c>
      <c r="N1" s="2" t="s">
        <v>38</v>
      </c>
      <c r="O1" s="2" t="s">
        <v>14</v>
      </c>
      <c r="P1" s="3" t="s">
        <v>9</v>
      </c>
      <c r="Q1" s="2" t="s">
        <v>8</v>
      </c>
      <c r="R1" s="2" t="s">
        <v>7</v>
      </c>
      <c r="S1" s="2" t="s">
        <v>6</v>
      </c>
      <c r="T1" s="2" t="s">
        <v>5</v>
      </c>
      <c r="U1" s="2" t="s">
        <v>36</v>
      </c>
      <c r="V1" s="2" t="s">
        <v>12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25</v>
      </c>
      <c r="AH1" s="2" t="s">
        <v>26</v>
      </c>
      <c r="AI1" s="2" t="s">
        <v>27</v>
      </c>
      <c r="AJ1" s="2" t="s">
        <v>28</v>
      </c>
      <c r="AK1" s="2" t="s">
        <v>29</v>
      </c>
      <c r="AL1" s="2" t="s">
        <v>30</v>
      </c>
      <c r="AM1" s="2" t="s">
        <v>68</v>
      </c>
      <c r="AN1" s="2" t="s">
        <v>39</v>
      </c>
      <c r="AO1" s="2" t="s">
        <v>40</v>
      </c>
      <c r="AP1" s="2" t="s">
        <v>13</v>
      </c>
      <c r="AQ1" s="2" t="s">
        <v>41</v>
      </c>
      <c r="AR1" s="2" t="s">
        <v>42</v>
      </c>
      <c r="AS1" s="2" t="s">
        <v>11</v>
      </c>
      <c r="AT1" s="2" t="s">
        <v>43</v>
      </c>
      <c r="AU1" s="2" t="s">
        <v>60</v>
      </c>
      <c r="AV1" s="2" t="s">
        <v>61</v>
      </c>
      <c r="AW1" s="2" t="s">
        <v>62</v>
      </c>
      <c r="AX1" s="2" t="s">
        <v>63</v>
      </c>
      <c r="AY1" s="2" t="s">
        <v>59</v>
      </c>
      <c r="AZ1" s="2"/>
      <c r="BA1" s="2"/>
      <c r="BB1" s="2"/>
      <c r="BC1" s="2"/>
      <c r="BD1" s="2"/>
    </row>
    <row r="2" spans="1:56" x14ac:dyDescent="0.3">
      <c r="A2" s="1">
        <v>45049.1260396875</v>
      </c>
      <c r="B2">
        <v>1798.93406105031</v>
      </c>
      <c r="C2">
        <v>0.89999997615814209</v>
      </c>
      <c r="D2">
        <v>0</v>
      </c>
      <c r="E2">
        <v>0</v>
      </c>
      <c r="F2" t="s">
        <v>44</v>
      </c>
      <c r="G2" t="s">
        <v>44</v>
      </c>
      <c r="H2">
        <v>671.2459716796875</v>
      </c>
      <c r="I2">
        <v>823.23095703125</v>
      </c>
      <c r="J2">
        <v>738.15521240234375</v>
      </c>
      <c r="K2">
        <v>917.6051025390625</v>
      </c>
      <c r="L2" t="s">
        <v>45</v>
      </c>
      <c r="M2" t="s">
        <v>45</v>
      </c>
      <c r="N2" t="s">
        <v>46</v>
      </c>
      <c r="O2" t="s">
        <v>47</v>
      </c>
      <c r="P2" t="s">
        <v>48</v>
      </c>
      <c r="Q2">
        <v>0</v>
      </c>
      <c r="R2" t="s">
        <v>49</v>
      </c>
      <c r="S2" t="s">
        <v>44</v>
      </c>
      <c r="T2" t="s">
        <v>44</v>
      </c>
      <c r="U2" t="s">
        <v>65</v>
      </c>
      <c r="V2">
        <v>106.06398773193359</v>
      </c>
      <c r="W2">
        <v>179.893448994962</v>
      </c>
      <c r="X2">
        <v>82.323097229003906</v>
      </c>
      <c r="Y2">
        <v>91.760513305664063</v>
      </c>
      <c r="Z2">
        <v>5.8098001480102504</v>
      </c>
      <c r="AA2">
        <v>905.97772216796875</v>
      </c>
      <c r="AB2">
        <v>893.81854248046875</v>
      </c>
      <c r="AC2">
        <v>0</v>
      </c>
      <c r="AD2">
        <v>0</v>
      </c>
      <c r="AE2">
        <v>0</v>
      </c>
      <c r="AF2">
        <v>1619.0406494140625</v>
      </c>
      <c r="AG2">
        <v>0</v>
      </c>
      <c r="AH2">
        <v>0</v>
      </c>
      <c r="AI2">
        <v>0</v>
      </c>
      <c r="AJ2" t="s">
        <v>50</v>
      </c>
      <c r="AK2" t="s">
        <v>51</v>
      </c>
      <c r="AL2" t="s">
        <v>50</v>
      </c>
      <c r="AM2" t="s">
        <v>52</v>
      </c>
      <c r="AN2" t="s">
        <v>52</v>
      </c>
      <c r="AO2" t="s">
        <v>53</v>
      </c>
      <c r="AP2" t="s">
        <v>54</v>
      </c>
      <c r="AQ2" t="s">
        <v>55</v>
      </c>
      <c r="AR2" t="s">
        <v>56</v>
      </c>
      <c r="AS2" t="s">
        <v>57</v>
      </c>
      <c r="AT2" t="s">
        <v>57</v>
      </c>
      <c r="AU2" t="s">
        <v>48</v>
      </c>
      <c r="AV2" t="s">
        <v>48</v>
      </c>
      <c r="AW2" t="s">
        <v>48</v>
      </c>
      <c r="AX2" t="s">
        <v>48</v>
      </c>
      <c r="AY2">
        <v>58.098001480000001</v>
      </c>
    </row>
    <row r="3" spans="1:56" x14ac:dyDescent="0.3">
      <c r="A3" s="1">
        <v>45050.1260396875</v>
      </c>
      <c r="B3">
        <v>1728.5660257337499</v>
      </c>
      <c r="C3">
        <v>0.89999997615814209</v>
      </c>
      <c r="D3">
        <v>0</v>
      </c>
      <c r="E3">
        <v>0</v>
      </c>
      <c r="F3" t="s">
        <v>44</v>
      </c>
      <c r="G3" t="s">
        <v>44</v>
      </c>
      <c r="H3">
        <v>635.5189208984375</v>
      </c>
      <c r="I3">
        <v>790.8590087890625</v>
      </c>
      <c r="J3">
        <v>738.8919677734375</v>
      </c>
      <c r="K3">
        <v>871.2440185546875</v>
      </c>
      <c r="L3" t="s">
        <v>45</v>
      </c>
      <c r="M3" t="s">
        <v>45</v>
      </c>
      <c r="N3" t="s">
        <v>46</v>
      </c>
      <c r="O3" t="s">
        <v>47</v>
      </c>
      <c r="P3" t="s">
        <v>48</v>
      </c>
      <c r="Q3">
        <v>0</v>
      </c>
      <c r="R3" t="s">
        <v>49</v>
      </c>
      <c r="S3" t="s">
        <v>44</v>
      </c>
      <c r="T3" t="s">
        <v>44</v>
      </c>
      <c r="U3" t="s">
        <v>65</v>
      </c>
      <c r="V3">
        <v>114.93499755859375</v>
      </c>
      <c r="W3">
        <v>172.85664378560099</v>
      </c>
      <c r="X3">
        <v>79.085899353027344</v>
      </c>
      <c r="Y3">
        <v>87.124404907226563</v>
      </c>
      <c r="Z3">
        <v>6.6462998390197754</v>
      </c>
      <c r="AA3">
        <v>892.86724853515625</v>
      </c>
      <c r="AB3">
        <v>942.32049560546875</v>
      </c>
      <c r="AC3">
        <v>0</v>
      </c>
      <c r="AD3">
        <v>0</v>
      </c>
      <c r="AE3">
        <v>0</v>
      </c>
      <c r="AF3">
        <v>1555.70947265625</v>
      </c>
      <c r="AG3">
        <v>0</v>
      </c>
      <c r="AH3">
        <v>0</v>
      </c>
      <c r="AI3">
        <v>0</v>
      </c>
      <c r="AJ3" t="s">
        <v>50</v>
      </c>
      <c r="AK3" t="s">
        <v>51</v>
      </c>
      <c r="AL3" t="s">
        <v>50</v>
      </c>
      <c r="AM3" t="s">
        <v>52</v>
      </c>
      <c r="AN3" t="s">
        <v>52</v>
      </c>
      <c r="AO3" t="s">
        <v>53</v>
      </c>
      <c r="AP3" t="s">
        <v>54</v>
      </c>
      <c r="AQ3" t="s">
        <v>55</v>
      </c>
      <c r="AR3" t="s">
        <v>56</v>
      </c>
      <c r="AS3" t="s">
        <v>57</v>
      </c>
      <c r="AT3" t="s">
        <v>57</v>
      </c>
      <c r="AU3" t="s">
        <v>48</v>
      </c>
      <c r="AV3" t="s">
        <v>48</v>
      </c>
      <c r="AW3" t="s">
        <v>48</v>
      </c>
      <c r="AX3" t="s">
        <v>48</v>
      </c>
      <c r="AY3">
        <v>66.462998389999996</v>
      </c>
    </row>
    <row r="4" spans="1:56" x14ac:dyDescent="0.3">
      <c r="A4" s="1">
        <v>45051.1260396875</v>
      </c>
      <c r="B4">
        <v>1886.00525951688</v>
      </c>
      <c r="C4">
        <v>0.89999997615814209</v>
      </c>
      <c r="D4">
        <v>0</v>
      </c>
      <c r="E4">
        <v>0</v>
      </c>
      <c r="F4" t="s">
        <v>44</v>
      </c>
      <c r="G4" t="s">
        <v>44</v>
      </c>
      <c r="H4">
        <v>621.45001220703125</v>
      </c>
      <c r="I4">
        <v>881.9910888671875</v>
      </c>
      <c r="J4">
        <v>737.98431396484375</v>
      </c>
      <c r="K4">
        <v>925.2381591796875</v>
      </c>
      <c r="P4" t="s">
        <v>48</v>
      </c>
      <c r="Q4">
        <v>0</v>
      </c>
      <c r="R4" t="s">
        <v>49</v>
      </c>
      <c r="S4" t="s">
        <v>44</v>
      </c>
      <c r="T4" t="s">
        <v>44</v>
      </c>
      <c r="U4" t="s">
        <v>65</v>
      </c>
      <c r="V4">
        <v>202.69099426269531</v>
      </c>
      <c r="W4">
        <v>188.60057091755701</v>
      </c>
      <c r="X4">
        <v>88.199111938476563</v>
      </c>
      <c r="Y4">
        <v>92.523818969726563</v>
      </c>
      <c r="Z4">
        <v>7.877601146697998</v>
      </c>
      <c r="AA4">
        <v>782.88775634765625</v>
      </c>
      <c r="AB4">
        <v>886.23944091796875</v>
      </c>
      <c r="AC4">
        <v>0</v>
      </c>
      <c r="AD4">
        <v>0</v>
      </c>
      <c r="AE4">
        <v>0</v>
      </c>
      <c r="AF4">
        <v>1697.40478515625</v>
      </c>
      <c r="AG4">
        <v>0</v>
      </c>
      <c r="AH4">
        <v>0</v>
      </c>
      <c r="AI4">
        <v>0</v>
      </c>
      <c r="AJ4" t="s">
        <v>50</v>
      </c>
      <c r="AK4" t="s">
        <v>51</v>
      </c>
      <c r="AL4" t="s">
        <v>50</v>
      </c>
      <c r="AU4" t="s">
        <v>48</v>
      </c>
      <c r="AV4" t="s">
        <v>48</v>
      </c>
      <c r="AW4" t="s">
        <v>48</v>
      </c>
      <c r="AX4" t="s">
        <v>48</v>
      </c>
      <c r="AY4">
        <v>78.77601147</v>
      </c>
    </row>
    <row r="5" spans="1:56" x14ac:dyDescent="0.3">
      <c r="A5" s="1">
        <v>45052.1260396875</v>
      </c>
      <c r="B5">
        <v>1719.33210752734</v>
      </c>
      <c r="C5">
        <v>0.89999997615814209</v>
      </c>
      <c r="D5">
        <v>0</v>
      </c>
      <c r="E5">
        <v>0</v>
      </c>
      <c r="F5" t="s">
        <v>44</v>
      </c>
      <c r="G5" t="s">
        <v>44</v>
      </c>
      <c r="H5">
        <v>574.4769287109375</v>
      </c>
      <c r="I5">
        <v>717.06903076171875</v>
      </c>
      <c r="J5">
        <v>685.432861328125</v>
      </c>
      <c r="K5">
        <v>892.674072265625</v>
      </c>
      <c r="P5" t="s">
        <v>48</v>
      </c>
      <c r="Q5">
        <v>0</v>
      </c>
      <c r="R5" t="s">
        <v>49</v>
      </c>
      <c r="S5" t="s">
        <v>44</v>
      </c>
      <c r="T5" t="s">
        <v>44</v>
      </c>
      <c r="U5" t="s">
        <v>65</v>
      </c>
      <c r="V5">
        <v>203.73703002929688</v>
      </c>
      <c r="W5">
        <v>171.933251744806</v>
      </c>
      <c r="X5">
        <v>71.706901550292969</v>
      </c>
      <c r="Y5">
        <v>89.267410278320313</v>
      </c>
      <c r="Z5">
        <v>10.958900451660156</v>
      </c>
      <c r="AA5">
        <v>890.162109375</v>
      </c>
      <c r="AB5">
        <v>853.1580810546875</v>
      </c>
      <c r="AC5">
        <v>0</v>
      </c>
      <c r="AD5">
        <v>0</v>
      </c>
      <c r="AE5">
        <v>0</v>
      </c>
      <c r="AF5">
        <v>1547.39892578125</v>
      </c>
      <c r="AG5">
        <v>0</v>
      </c>
      <c r="AH5">
        <v>0</v>
      </c>
      <c r="AI5">
        <v>0</v>
      </c>
      <c r="AJ5" t="s">
        <v>50</v>
      </c>
      <c r="AK5" t="s">
        <v>51</v>
      </c>
      <c r="AL5" t="s">
        <v>50</v>
      </c>
      <c r="AU5" t="s">
        <v>48</v>
      </c>
      <c r="AV5" t="s">
        <v>48</v>
      </c>
      <c r="AW5" t="s">
        <v>48</v>
      </c>
      <c r="AX5" t="s">
        <v>48</v>
      </c>
      <c r="AY5">
        <v>109.5890045</v>
      </c>
    </row>
    <row r="6" spans="1:56" x14ac:dyDescent="0.3">
      <c r="A6" s="1">
        <v>45053.1260396875</v>
      </c>
      <c r="B6">
        <v>1819.03119039234</v>
      </c>
      <c r="C6">
        <v>0.89999997615814209</v>
      </c>
      <c r="D6">
        <v>0</v>
      </c>
      <c r="E6">
        <v>0</v>
      </c>
      <c r="F6" t="s">
        <v>44</v>
      </c>
      <c r="G6" t="s">
        <v>44</v>
      </c>
      <c r="H6">
        <v>673.93621826171875</v>
      </c>
      <c r="I6">
        <v>890.330078125</v>
      </c>
      <c r="J6">
        <v>739.32666015625</v>
      </c>
      <c r="K6">
        <v>895.74310302734375</v>
      </c>
      <c r="P6" t="s">
        <v>48</v>
      </c>
      <c r="Q6">
        <v>0</v>
      </c>
      <c r="R6" t="s">
        <v>49</v>
      </c>
      <c r="S6" t="s">
        <v>44</v>
      </c>
      <c r="T6" t="s">
        <v>44</v>
      </c>
      <c r="U6" t="s">
        <v>65</v>
      </c>
      <c r="V6">
        <v>90.933059692382813</v>
      </c>
      <c r="W6">
        <v>181.903162408318</v>
      </c>
      <c r="X6">
        <v>89.033004760742188</v>
      </c>
      <c r="Y6">
        <v>89.574310302734375</v>
      </c>
      <c r="Z6">
        <v>3.2958009243011475</v>
      </c>
      <c r="AA6">
        <v>841.056640625</v>
      </c>
      <c r="AB6">
        <v>917.08673095703125</v>
      </c>
      <c r="AC6">
        <v>0</v>
      </c>
      <c r="AD6">
        <v>0</v>
      </c>
      <c r="AE6">
        <v>0</v>
      </c>
      <c r="AF6">
        <v>1637.1280517578125</v>
      </c>
      <c r="AG6">
        <v>0</v>
      </c>
      <c r="AH6">
        <v>0</v>
      </c>
      <c r="AI6">
        <v>0</v>
      </c>
      <c r="AJ6" t="s">
        <v>50</v>
      </c>
      <c r="AK6" t="s">
        <v>51</v>
      </c>
      <c r="AL6" t="s">
        <v>50</v>
      </c>
      <c r="AU6" t="s">
        <v>48</v>
      </c>
      <c r="AV6" t="s">
        <v>48</v>
      </c>
      <c r="AW6" t="s">
        <v>48</v>
      </c>
      <c r="AX6" t="s">
        <v>48</v>
      </c>
      <c r="AY6">
        <v>32.958009240000003</v>
      </c>
    </row>
    <row r="7" spans="1:56" x14ac:dyDescent="0.3">
      <c r="A7" s="1">
        <v>45054.1260396875</v>
      </c>
      <c r="B7">
        <v>1695.6080622634399</v>
      </c>
      <c r="C7">
        <v>0.89999997615814209</v>
      </c>
      <c r="D7">
        <v>0</v>
      </c>
      <c r="E7">
        <v>0</v>
      </c>
      <c r="F7" t="s">
        <v>44</v>
      </c>
      <c r="G7" t="s">
        <v>44</v>
      </c>
      <c r="H7">
        <v>531.14202880859375</v>
      </c>
      <c r="I7">
        <v>750.9739990234375</v>
      </c>
      <c r="J7">
        <v>731.32666015625</v>
      </c>
      <c r="K7">
        <v>935.0390625</v>
      </c>
      <c r="P7" t="s">
        <v>48</v>
      </c>
      <c r="Q7">
        <v>0</v>
      </c>
      <c r="R7" t="s">
        <v>49</v>
      </c>
      <c r="S7" t="s">
        <v>44</v>
      </c>
      <c r="T7" t="s">
        <v>44</v>
      </c>
      <c r="U7" t="s">
        <v>65</v>
      </c>
      <c r="V7">
        <v>8.5030269622802734</v>
      </c>
      <c r="W7">
        <v>169.56084665278999</v>
      </c>
      <c r="X7">
        <v>75.097396850585938</v>
      </c>
      <c r="Y7">
        <v>93.50390625</v>
      </c>
      <c r="Z7">
        <v>0.95950007438659668</v>
      </c>
      <c r="AA7">
        <v>785.8564453125</v>
      </c>
      <c r="AB7">
        <v>869.038818359375</v>
      </c>
      <c r="AC7">
        <v>0</v>
      </c>
      <c r="AD7">
        <v>0</v>
      </c>
      <c r="AE7">
        <v>0</v>
      </c>
      <c r="AF7">
        <v>1526.0472412109375</v>
      </c>
      <c r="AG7">
        <v>0</v>
      </c>
      <c r="AH7">
        <v>0</v>
      </c>
      <c r="AI7">
        <v>0</v>
      </c>
      <c r="AJ7" t="s">
        <v>50</v>
      </c>
      <c r="AK7" t="s">
        <v>51</v>
      </c>
      <c r="AL7" t="s">
        <v>50</v>
      </c>
      <c r="AU7" t="s">
        <v>48</v>
      </c>
      <c r="AV7" t="s">
        <v>48</v>
      </c>
      <c r="AW7" t="s">
        <v>48</v>
      </c>
      <c r="AX7" t="s">
        <v>48</v>
      </c>
      <c r="AY7">
        <v>9.5950007399999997</v>
      </c>
    </row>
    <row r="8" spans="1:56" x14ac:dyDescent="0.3">
      <c r="A8" s="1">
        <v>45055.1260396875</v>
      </c>
      <c r="B8">
        <v>1350.2980704332001</v>
      </c>
      <c r="C8">
        <v>0.89999997615814209</v>
      </c>
      <c r="D8">
        <v>0</v>
      </c>
      <c r="E8">
        <v>0</v>
      </c>
      <c r="F8" t="s">
        <v>44</v>
      </c>
      <c r="G8" t="s">
        <v>44</v>
      </c>
      <c r="H8">
        <v>464.09317016601563</v>
      </c>
      <c r="I8">
        <v>470.41403198242188</v>
      </c>
      <c r="J8">
        <v>739.77130126953125</v>
      </c>
      <c r="K8">
        <v>855.80303955078125</v>
      </c>
      <c r="P8" t="s">
        <v>48</v>
      </c>
      <c r="Q8">
        <v>0</v>
      </c>
      <c r="R8" t="s">
        <v>49</v>
      </c>
      <c r="S8" t="s">
        <v>44</v>
      </c>
      <c r="T8" t="s">
        <v>44</v>
      </c>
      <c r="U8" t="s">
        <v>65</v>
      </c>
      <c r="V8">
        <v>33.800018310546875</v>
      </c>
      <c r="W8">
        <v>135.029839236935</v>
      </c>
      <c r="X8">
        <v>47.041404724121094</v>
      </c>
      <c r="Y8">
        <v>85.580307006835938</v>
      </c>
      <c r="Z8">
        <v>2.408099889755249</v>
      </c>
      <c r="AA8">
        <v>1096.181396484375</v>
      </c>
      <c r="AB8">
        <v>960.464111328125</v>
      </c>
      <c r="AC8">
        <v>0</v>
      </c>
      <c r="AD8">
        <v>0</v>
      </c>
      <c r="AE8">
        <v>0</v>
      </c>
      <c r="AF8">
        <v>1215.268310546875</v>
      </c>
      <c r="AG8">
        <v>0</v>
      </c>
      <c r="AH8">
        <v>0</v>
      </c>
      <c r="AI8">
        <v>0</v>
      </c>
      <c r="AJ8" t="s">
        <v>50</v>
      </c>
      <c r="AK8" t="s">
        <v>51</v>
      </c>
      <c r="AL8" t="s">
        <v>50</v>
      </c>
      <c r="AU8" t="s">
        <v>48</v>
      </c>
      <c r="AV8" t="s">
        <v>48</v>
      </c>
      <c r="AW8" t="s">
        <v>48</v>
      </c>
      <c r="AX8" t="s">
        <v>48</v>
      </c>
      <c r="AY8">
        <v>24.080998900000001</v>
      </c>
    </row>
    <row r="9" spans="1:56" x14ac:dyDescent="0.3">
      <c r="A9" s="1">
        <v>45056.1260396875</v>
      </c>
      <c r="B9">
        <v>249.843017578125</v>
      </c>
      <c r="C9">
        <v>0.89999997615814209</v>
      </c>
      <c r="D9">
        <v>0</v>
      </c>
      <c r="E9">
        <v>0</v>
      </c>
      <c r="F9" t="s">
        <v>44</v>
      </c>
      <c r="G9" t="s">
        <v>44</v>
      </c>
      <c r="H9">
        <v>7.2966856956481934</v>
      </c>
      <c r="I9">
        <v>0</v>
      </c>
      <c r="J9">
        <v>291.281005859375</v>
      </c>
      <c r="K9">
        <v>249.843017578125</v>
      </c>
      <c r="P9" t="s">
        <v>48</v>
      </c>
      <c r="Q9">
        <v>0</v>
      </c>
      <c r="R9" t="s">
        <v>49</v>
      </c>
      <c r="S9" t="s">
        <v>44</v>
      </c>
      <c r="T9" t="s">
        <v>44</v>
      </c>
      <c r="U9" t="s">
        <v>65</v>
      </c>
      <c r="V9">
        <v>12.197998046875</v>
      </c>
      <c r="W9">
        <v>24.9843077145342</v>
      </c>
      <c r="X9">
        <v>0</v>
      </c>
      <c r="Y9">
        <v>24.984302520751953</v>
      </c>
      <c r="Z9">
        <v>0</v>
      </c>
      <c r="AA9" t="s">
        <v>58</v>
      </c>
      <c r="AB9">
        <v>1295.3956298828125</v>
      </c>
      <c r="AC9">
        <v>0</v>
      </c>
      <c r="AD9">
        <v>0</v>
      </c>
      <c r="AE9">
        <v>0</v>
      </c>
      <c r="AF9">
        <v>224.85871887207031</v>
      </c>
      <c r="AG9">
        <v>0</v>
      </c>
      <c r="AH9">
        <v>0</v>
      </c>
      <c r="AI9">
        <v>0</v>
      </c>
      <c r="AJ9" t="s">
        <v>50</v>
      </c>
      <c r="AK9" t="s">
        <v>51</v>
      </c>
      <c r="AL9" t="s">
        <v>50</v>
      </c>
      <c r="AU9" t="s">
        <v>48</v>
      </c>
      <c r="AV9" t="s">
        <v>48</v>
      </c>
      <c r="AW9" t="s">
        <v>48</v>
      </c>
      <c r="AX9" t="s">
        <v>48</v>
      </c>
      <c r="AY9">
        <v>0</v>
      </c>
    </row>
    <row r="10" spans="1:56" x14ac:dyDescent="0.3">
      <c r="A10" s="1">
        <v>45057.1260396875</v>
      </c>
      <c r="B10">
        <v>1139.14802456232</v>
      </c>
      <c r="C10">
        <v>0.89999997615814209</v>
      </c>
      <c r="D10">
        <v>0</v>
      </c>
      <c r="E10">
        <v>0</v>
      </c>
      <c r="F10" t="s">
        <v>44</v>
      </c>
      <c r="G10" t="s">
        <v>44</v>
      </c>
      <c r="H10">
        <v>82.795059204101563</v>
      </c>
      <c r="I10">
        <v>29.622001647949219</v>
      </c>
      <c r="J10">
        <v>736.9764404296875</v>
      </c>
      <c r="K10">
        <v>1064.697021484375</v>
      </c>
      <c r="P10" t="s">
        <v>48</v>
      </c>
      <c r="Q10">
        <v>0</v>
      </c>
      <c r="R10" t="s">
        <v>49</v>
      </c>
      <c r="S10" t="s">
        <v>44</v>
      </c>
      <c r="T10" t="s">
        <v>44</v>
      </c>
      <c r="U10" t="s">
        <v>65</v>
      </c>
      <c r="V10">
        <v>132.90603637695313</v>
      </c>
      <c r="W10">
        <v>113.914829615638</v>
      </c>
      <c r="X10">
        <v>2.9622001647949219</v>
      </c>
      <c r="Y10">
        <v>106.46970367431641</v>
      </c>
      <c r="Z10">
        <v>4.4829001426696777</v>
      </c>
      <c r="AA10" t="s">
        <v>58</v>
      </c>
      <c r="AB10">
        <v>769.10394287109375</v>
      </c>
      <c r="AC10">
        <v>0</v>
      </c>
      <c r="AD10">
        <v>0</v>
      </c>
      <c r="AE10">
        <v>0</v>
      </c>
      <c r="AF10">
        <v>1025.2332763671875</v>
      </c>
      <c r="AG10">
        <v>0</v>
      </c>
      <c r="AH10">
        <v>0</v>
      </c>
      <c r="AI10">
        <v>0</v>
      </c>
      <c r="AJ10" t="s">
        <v>50</v>
      </c>
      <c r="AK10" t="s">
        <v>51</v>
      </c>
      <c r="AL10" t="s">
        <v>50</v>
      </c>
      <c r="AU10" t="s">
        <v>48</v>
      </c>
      <c r="AV10" t="s">
        <v>48</v>
      </c>
      <c r="AW10" t="s">
        <v>48</v>
      </c>
      <c r="AX10" t="s">
        <v>48</v>
      </c>
      <c r="AY10">
        <v>44.829001429999998</v>
      </c>
    </row>
    <row r="11" spans="1:56" x14ac:dyDescent="0.3">
      <c r="A11" s="1">
        <v>45058.1260396875</v>
      </c>
      <c r="B11">
        <v>1819.7940559357801</v>
      </c>
      <c r="C11">
        <v>0.89999997615814209</v>
      </c>
      <c r="D11">
        <v>0</v>
      </c>
      <c r="E11">
        <v>0</v>
      </c>
      <c r="F11" t="s">
        <v>44</v>
      </c>
      <c r="G11" t="s">
        <v>44</v>
      </c>
      <c r="H11">
        <v>596.02130126953125</v>
      </c>
      <c r="I11">
        <v>801.78497314453125</v>
      </c>
      <c r="J11">
        <v>737.15435791015625</v>
      </c>
      <c r="K11">
        <v>933.80908203125</v>
      </c>
      <c r="P11" t="s">
        <v>48</v>
      </c>
      <c r="Q11">
        <v>0</v>
      </c>
      <c r="R11" t="s">
        <v>49</v>
      </c>
      <c r="S11" t="s">
        <v>44</v>
      </c>
      <c r="T11" t="s">
        <v>44</v>
      </c>
      <c r="U11" t="s">
        <v>65</v>
      </c>
      <c r="V11">
        <v>173.54417419433594</v>
      </c>
      <c r="W11">
        <v>181.97944898084901</v>
      </c>
      <c r="X11">
        <v>80.178497314453125</v>
      </c>
      <c r="Y11">
        <v>93.380905151367188</v>
      </c>
      <c r="Z11">
        <v>8.4200000762939453</v>
      </c>
      <c r="AA11">
        <v>825.9644775390625</v>
      </c>
      <c r="AB11">
        <v>877.11767578125</v>
      </c>
      <c r="AC11">
        <v>0</v>
      </c>
      <c r="AD11">
        <v>0</v>
      </c>
      <c r="AE11">
        <v>0</v>
      </c>
      <c r="AF11">
        <v>1637.814697265625</v>
      </c>
      <c r="AG11">
        <v>0</v>
      </c>
      <c r="AH11">
        <v>0</v>
      </c>
      <c r="AI11">
        <v>0</v>
      </c>
      <c r="AJ11" t="s">
        <v>50</v>
      </c>
      <c r="AK11" t="s">
        <v>51</v>
      </c>
      <c r="AL11" t="s">
        <v>50</v>
      </c>
      <c r="AU11" t="s">
        <v>48</v>
      </c>
      <c r="AV11" t="s">
        <v>48</v>
      </c>
      <c r="AW11" t="s">
        <v>48</v>
      </c>
      <c r="AX11" t="s">
        <v>48</v>
      </c>
      <c r="AY11">
        <v>84.200000759999995</v>
      </c>
    </row>
    <row r="12" spans="1:56" x14ac:dyDescent="0.3">
      <c r="A12" s="1">
        <v>45059.1260396875</v>
      </c>
      <c r="B12">
        <v>1763.7080135015599</v>
      </c>
      <c r="C12">
        <v>0.89999997615814209</v>
      </c>
      <c r="D12">
        <v>0</v>
      </c>
      <c r="E12">
        <v>0</v>
      </c>
      <c r="F12" t="s">
        <v>44</v>
      </c>
      <c r="G12" t="s">
        <v>44</v>
      </c>
      <c r="H12">
        <v>647.20465087890625</v>
      </c>
      <c r="I12">
        <v>789.95703125</v>
      </c>
      <c r="J12">
        <v>709.64410400390625</v>
      </c>
      <c r="K12">
        <v>860.2349853515625</v>
      </c>
      <c r="P12" t="s">
        <v>48</v>
      </c>
      <c r="Q12">
        <v>0</v>
      </c>
      <c r="R12" t="s">
        <v>49</v>
      </c>
      <c r="S12" t="s">
        <v>44</v>
      </c>
      <c r="T12" t="s">
        <v>44</v>
      </c>
      <c r="U12" t="s">
        <v>65</v>
      </c>
      <c r="V12">
        <v>173.80900573730469</v>
      </c>
      <c r="W12">
        <v>176.37084340023199</v>
      </c>
      <c r="X12">
        <v>78.995704650878906</v>
      </c>
      <c r="Y12">
        <v>86.02349853515625</v>
      </c>
      <c r="Z12">
        <v>11.35159969329834</v>
      </c>
      <c r="AA12">
        <v>910.3233642578125</v>
      </c>
      <c r="AB12">
        <v>916.6024169921875</v>
      </c>
      <c r="AC12">
        <v>0</v>
      </c>
      <c r="AD12">
        <v>0</v>
      </c>
      <c r="AE12">
        <v>0</v>
      </c>
      <c r="AF12">
        <v>1587.337158203125</v>
      </c>
      <c r="AG12">
        <v>0</v>
      </c>
      <c r="AH12">
        <v>0</v>
      </c>
      <c r="AI12">
        <v>0</v>
      </c>
      <c r="AJ12" t="s">
        <v>50</v>
      </c>
      <c r="AK12" t="s">
        <v>51</v>
      </c>
      <c r="AL12" t="s">
        <v>50</v>
      </c>
      <c r="AU12" t="s">
        <v>48</v>
      </c>
      <c r="AV12" t="s">
        <v>48</v>
      </c>
      <c r="AW12" t="s">
        <v>48</v>
      </c>
      <c r="AX12" t="s">
        <v>48</v>
      </c>
      <c r="AY12">
        <v>113.5159969</v>
      </c>
    </row>
    <row r="13" spans="1:56" x14ac:dyDescent="0.3">
      <c r="A13" s="1">
        <v>45060.1260396875</v>
      </c>
      <c r="B13">
        <v>1665.6930484781301</v>
      </c>
      <c r="C13">
        <v>0.89999997615814209</v>
      </c>
      <c r="D13">
        <v>0</v>
      </c>
      <c r="E13">
        <v>0</v>
      </c>
      <c r="F13" t="s">
        <v>44</v>
      </c>
      <c r="G13" t="s">
        <v>44</v>
      </c>
      <c r="H13">
        <v>693.81207275390625</v>
      </c>
      <c r="I13">
        <v>876.113037109375</v>
      </c>
      <c r="J13">
        <v>642.64593505859375</v>
      </c>
      <c r="K13">
        <v>739.18701171875</v>
      </c>
      <c r="P13" t="s">
        <v>48</v>
      </c>
      <c r="Q13">
        <v>0</v>
      </c>
      <c r="R13" t="s">
        <v>49</v>
      </c>
      <c r="S13" t="s">
        <v>44</v>
      </c>
      <c r="T13" t="s">
        <v>44</v>
      </c>
      <c r="U13" t="s">
        <v>65</v>
      </c>
      <c r="V13">
        <v>123.0860595703125</v>
      </c>
      <c r="W13">
        <v>166.569344561029</v>
      </c>
      <c r="X13">
        <v>87.611305236816406</v>
      </c>
      <c r="Y13">
        <v>73.918701171875</v>
      </c>
      <c r="Z13">
        <v>5.0392999649047852</v>
      </c>
      <c r="AA13">
        <v>879.91192626953125</v>
      </c>
      <c r="AB13">
        <v>965.99505615234375</v>
      </c>
      <c r="AC13">
        <v>0</v>
      </c>
      <c r="AD13">
        <v>0</v>
      </c>
      <c r="AE13">
        <v>0</v>
      </c>
      <c r="AF13">
        <v>1499.123779296875</v>
      </c>
      <c r="AG13">
        <v>0</v>
      </c>
      <c r="AH13">
        <v>0</v>
      </c>
      <c r="AI13">
        <v>0</v>
      </c>
      <c r="AJ13" t="s">
        <v>50</v>
      </c>
      <c r="AK13" t="s">
        <v>51</v>
      </c>
      <c r="AL13" t="s">
        <v>50</v>
      </c>
      <c r="AU13" t="s">
        <v>48</v>
      </c>
      <c r="AV13" t="s">
        <v>48</v>
      </c>
      <c r="AW13" t="s">
        <v>48</v>
      </c>
      <c r="AX13" t="s">
        <v>48</v>
      </c>
      <c r="AY13">
        <v>50.39299965</v>
      </c>
    </row>
    <row r="14" spans="1:56" x14ac:dyDescent="0.3">
      <c r="A14" s="1">
        <v>45061.1260396875</v>
      </c>
      <c r="B14">
        <v>1902.4321689687499</v>
      </c>
      <c r="C14">
        <v>0.89999997615814209</v>
      </c>
      <c r="D14">
        <v>0</v>
      </c>
      <c r="E14">
        <v>0</v>
      </c>
      <c r="F14" t="s">
        <v>44</v>
      </c>
      <c r="G14" t="s">
        <v>44</v>
      </c>
      <c r="H14">
        <v>720.3272705078125</v>
      </c>
      <c r="I14">
        <v>862.619140625</v>
      </c>
      <c r="J14">
        <v>739.62255859375</v>
      </c>
      <c r="K14">
        <v>930.35302734375</v>
      </c>
      <c r="P14" t="s">
        <v>48</v>
      </c>
      <c r="Q14">
        <v>0</v>
      </c>
      <c r="R14" t="s">
        <v>49</v>
      </c>
      <c r="S14" t="s">
        <v>44</v>
      </c>
      <c r="T14" t="s">
        <v>44</v>
      </c>
      <c r="U14" t="s">
        <v>65</v>
      </c>
      <c r="V14">
        <v>232.81210327148438</v>
      </c>
      <c r="W14">
        <v>190.24326225439199</v>
      </c>
      <c r="X14">
        <v>86.261917114257813</v>
      </c>
      <c r="Y14">
        <v>93.035301208496094</v>
      </c>
      <c r="Z14">
        <v>10.946000099182129</v>
      </c>
      <c r="AA14">
        <v>927.8297119140625</v>
      </c>
      <c r="AB14">
        <v>883.32373046875</v>
      </c>
      <c r="AC14">
        <v>0</v>
      </c>
      <c r="AD14">
        <v>0</v>
      </c>
      <c r="AE14">
        <v>0</v>
      </c>
      <c r="AF14">
        <v>1712.18896484375</v>
      </c>
      <c r="AG14">
        <v>0</v>
      </c>
      <c r="AH14">
        <v>0</v>
      </c>
      <c r="AI14">
        <v>0</v>
      </c>
      <c r="AJ14" t="s">
        <v>50</v>
      </c>
      <c r="AK14" t="s">
        <v>51</v>
      </c>
      <c r="AL14" t="s">
        <v>50</v>
      </c>
      <c r="AU14" t="s">
        <v>48</v>
      </c>
      <c r="AV14" t="s">
        <v>48</v>
      </c>
      <c r="AW14" t="s">
        <v>48</v>
      </c>
      <c r="AX14" t="s">
        <v>48</v>
      </c>
      <c r="AY14">
        <v>109.46000100000001</v>
      </c>
    </row>
    <row r="15" spans="1:56" x14ac:dyDescent="0.3">
      <c r="A15" s="1">
        <v>45062.1260396875</v>
      </c>
      <c r="B15">
        <v>1934.4291734710901</v>
      </c>
      <c r="C15">
        <v>0.89999997615814209</v>
      </c>
      <c r="D15">
        <v>0</v>
      </c>
      <c r="E15">
        <v>0</v>
      </c>
      <c r="F15" t="s">
        <v>44</v>
      </c>
      <c r="G15" t="s">
        <v>44</v>
      </c>
      <c r="H15">
        <v>712.645263671875</v>
      </c>
      <c r="I15">
        <v>965.60205078125</v>
      </c>
      <c r="J15">
        <v>720.7039794921875</v>
      </c>
      <c r="K15">
        <v>907.95111083984375</v>
      </c>
      <c r="P15" t="s">
        <v>48</v>
      </c>
      <c r="Q15">
        <v>0</v>
      </c>
      <c r="R15" t="s">
        <v>49</v>
      </c>
      <c r="S15" t="s">
        <v>44</v>
      </c>
      <c r="T15" t="s">
        <v>44</v>
      </c>
      <c r="U15" t="s">
        <v>65</v>
      </c>
      <c r="V15">
        <v>170.47802734375</v>
      </c>
      <c r="W15">
        <v>193.44296346749499</v>
      </c>
      <c r="X15">
        <v>96.560203552246094</v>
      </c>
      <c r="Y15">
        <v>90.795112609863281</v>
      </c>
      <c r="Z15">
        <v>6.0876011848449707</v>
      </c>
      <c r="AA15">
        <v>820.03564453125</v>
      </c>
      <c r="AB15">
        <v>881.96624755859375</v>
      </c>
      <c r="AC15">
        <v>0</v>
      </c>
      <c r="AD15">
        <v>0</v>
      </c>
      <c r="AE15">
        <v>0</v>
      </c>
      <c r="AF15">
        <v>1740.9862060546875</v>
      </c>
      <c r="AG15">
        <v>0</v>
      </c>
      <c r="AH15">
        <v>0</v>
      </c>
      <c r="AI15">
        <v>0</v>
      </c>
      <c r="AJ15" t="s">
        <v>50</v>
      </c>
      <c r="AK15" t="s">
        <v>51</v>
      </c>
      <c r="AL15" t="s">
        <v>50</v>
      </c>
      <c r="AU15" t="s">
        <v>48</v>
      </c>
      <c r="AV15" t="s">
        <v>48</v>
      </c>
      <c r="AW15" t="s">
        <v>48</v>
      </c>
      <c r="AX15" t="s">
        <v>48</v>
      </c>
      <c r="AY15">
        <v>60.876011849999998</v>
      </c>
    </row>
    <row r="16" spans="1:56" x14ac:dyDescent="0.3">
      <c r="A16" s="1">
        <v>45063.1260396875</v>
      </c>
      <c r="B16">
        <v>1841.93809127688</v>
      </c>
      <c r="C16">
        <v>0.89999997615814209</v>
      </c>
      <c r="D16">
        <v>0</v>
      </c>
      <c r="E16">
        <v>0</v>
      </c>
      <c r="F16" t="s">
        <v>44</v>
      </c>
      <c r="G16" t="s">
        <v>44</v>
      </c>
      <c r="H16">
        <v>496.36175537109375</v>
      </c>
      <c r="I16">
        <v>864.3360595703125</v>
      </c>
      <c r="J16">
        <v>734.1326904296875</v>
      </c>
      <c r="K16">
        <v>883.7330322265625</v>
      </c>
      <c r="P16" t="s">
        <v>48</v>
      </c>
      <c r="Q16">
        <v>0</v>
      </c>
      <c r="R16" t="s">
        <v>49</v>
      </c>
      <c r="S16" t="s">
        <v>44</v>
      </c>
      <c r="T16" t="s">
        <v>44</v>
      </c>
      <c r="U16" t="s">
        <v>65</v>
      </c>
      <c r="V16">
        <v>192.68304443359375</v>
      </c>
      <c r="W16">
        <v>184.19385304291399</v>
      </c>
      <c r="X16">
        <v>86.433609008789063</v>
      </c>
      <c r="Y16">
        <v>88.373306274414063</v>
      </c>
      <c r="Z16">
        <v>9.3868999481201172</v>
      </c>
      <c r="AA16">
        <v>638.0771484375</v>
      </c>
      <c r="AB16">
        <v>923.01971435546875</v>
      </c>
      <c r="AC16">
        <v>0</v>
      </c>
      <c r="AD16">
        <v>0</v>
      </c>
      <c r="AE16">
        <v>0</v>
      </c>
      <c r="AF16">
        <v>1657.7442626953125</v>
      </c>
      <c r="AG16">
        <v>0</v>
      </c>
      <c r="AH16">
        <v>0</v>
      </c>
      <c r="AI16">
        <v>0</v>
      </c>
      <c r="AJ16" t="s">
        <v>50</v>
      </c>
      <c r="AK16" t="s">
        <v>51</v>
      </c>
      <c r="AL16" t="s">
        <v>50</v>
      </c>
      <c r="AU16" t="s">
        <v>48</v>
      </c>
      <c r="AV16" t="s">
        <v>48</v>
      </c>
      <c r="AW16" t="s">
        <v>48</v>
      </c>
      <c r="AX16" t="s">
        <v>48</v>
      </c>
      <c r="AY16">
        <v>93.868999479999999</v>
      </c>
    </row>
    <row r="17" spans="1:51" x14ac:dyDescent="0.3">
      <c r="A17" s="1">
        <v>45064.1260396875</v>
      </c>
      <c r="B17">
        <v>786.49501800158203</v>
      </c>
      <c r="C17">
        <v>0.89999997615814209</v>
      </c>
      <c r="D17">
        <v>0</v>
      </c>
      <c r="E17">
        <v>0</v>
      </c>
      <c r="F17" t="s">
        <v>44</v>
      </c>
      <c r="G17" t="s">
        <v>44</v>
      </c>
      <c r="H17">
        <v>144.64544677734375</v>
      </c>
      <c r="I17">
        <v>4.2060012817382813</v>
      </c>
      <c r="J17">
        <v>565.6920166015625</v>
      </c>
      <c r="K17">
        <v>696.58001708984375</v>
      </c>
      <c r="P17" t="s">
        <v>48</v>
      </c>
      <c r="Q17">
        <v>0</v>
      </c>
      <c r="R17" t="s">
        <v>49</v>
      </c>
      <c r="S17" t="s">
        <v>44</v>
      </c>
      <c r="T17" t="s">
        <v>44</v>
      </c>
      <c r="U17" t="s">
        <v>65</v>
      </c>
      <c r="V17">
        <v>203.15000915527344</v>
      </c>
      <c r="W17">
        <v>78.6495205516607</v>
      </c>
      <c r="X17">
        <v>0.42060011625289917</v>
      </c>
      <c r="Y17">
        <v>69.658004760742188</v>
      </c>
      <c r="Z17">
        <v>8.5708999633789063</v>
      </c>
      <c r="AA17">
        <v>38211.37890625</v>
      </c>
      <c r="AB17">
        <v>902.33233642578125</v>
      </c>
      <c r="AC17">
        <v>0</v>
      </c>
      <c r="AD17">
        <v>0</v>
      </c>
      <c r="AE17">
        <v>0</v>
      </c>
      <c r="AF17">
        <v>707.84552001953125</v>
      </c>
      <c r="AG17">
        <v>0</v>
      </c>
      <c r="AH17">
        <v>0</v>
      </c>
      <c r="AI17">
        <v>0</v>
      </c>
      <c r="AJ17" t="s">
        <v>50</v>
      </c>
      <c r="AK17" t="s">
        <v>51</v>
      </c>
      <c r="AL17" t="s">
        <v>50</v>
      </c>
      <c r="AU17" t="s">
        <v>48</v>
      </c>
      <c r="AV17" t="s">
        <v>48</v>
      </c>
      <c r="AW17" t="s">
        <v>48</v>
      </c>
      <c r="AX17" t="s">
        <v>48</v>
      </c>
      <c r="AY17">
        <v>85.708999629999994</v>
      </c>
    </row>
    <row r="18" spans="1:51" x14ac:dyDescent="0.3">
      <c r="A18" s="1">
        <v>45065.1260396875</v>
      </c>
      <c r="B18">
        <v>1090.0650920878099</v>
      </c>
      <c r="C18">
        <v>0.89999997615814209</v>
      </c>
      <c r="D18">
        <v>0</v>
      </c>
      <c r="E18">
        <v>0</v>
      </c>
      <c r="F18" t="s">
        <v>44</v>
      </c>
      <c r="G18" t="s">
        <v>44</v>
      </c>
      <c r="H18">
        <v>348.466552734375</v>
      </c>
      <c r="I18">
        <v>140.8900146484375</v>
      </c>
      <c r="J18">
        <v>730.5997314453125</v>
      </c>
      <c r="K18">
        <v>892.195068359375</v>
      </c>
      <c r="P18" t="s">
        <v>48</v>
      </c>
      <c r="Q18">
        <v>0</v>
      </c>
      <c r="R18" t="s">
        <v>49</v>
      </c>
      <c r="S18" t="s">
        <v>44</v>
      </c>
      <c r="T18" t="s">
        <v>44</v>
      </c>
      <c r="U18" t="s">
        <v>65</v>
      </c>
      <c r="V18">
        <v>149.02203369140625</v>
      </c>
      <c r="W18">
        <v>109.006535197958</v>
      </c>
      <c r="X18">
        <v>14.089001655578613</v>
      </c>
      <c r="Y18">
        <v>89.219505310058594</v>
      </c>
      <c r="Z18">
        <v>5.6980009078979492</v>
      </c>
      <c r="AA18">
        <v>2748.137451171875</v>
      </c>
      <c r="AB18">
        <v>909.86544841808097</v>
      </c>
      <c r="AC18">
        <v>0</v>
      </c>
      <c r="AD18">
        <v>0</v>
      </c>
      <c r="AE18">
        <v>0</v>
      </c>
      <c r="AF18">
        <v>981.05859375</v>
      </c>
      <c r="AG18">
        <v>0</v>
      </c>
      <c r="AH18">
        <v>0</v>
      </c>
      <c r="AI18">
        <v>0</v>
      </c>
      <c r="AJ18" t="s">
        <v>50</v>
      </c>
      <c r="AK18" t="s">
        <v>51</v>
      </c>
      <c r="AL18" t="s">
        <v>50</v>
      </c>
      <c r="AU18" t="s">
        <v>48</v>
      </c>
      <c r="AV18" t="s">
        <v>48</v>
      </c>
      <c r="AW18" t="s">
        <v>48</v>
      </c>
      <c r="AX18" t="s">
        <v>48</v>
      </c>
      <c r="AY18">
        <v>56.980009080000002</v>
      </c>
    </row>
    <row r="19" spans="1:51" x14ac:dyDescent="0.3">
      <c r="A19" s="1">
        <v>45066.1260396875</v>
      </c>
      <c r="B19">
        <v>1535.08708668188</v>
      </c>
      <c r="C19">
        <v>0.89999997615814209</v>
      </c>
      <c r="D19">
        <v>0</v>
      </c>
      <c r="E19">
        <v>0</v>
      </c>
      <c r="F19" t="s">
        <v>44</v>
      </c>
      <c r="G19" t="s">
        <v>44</v>
      </c>
      <c r="H19">
        <v>480.54080200195313</v>
      </c>
      <c r="I19">
        <v>609.77508544921875</v>
      </c>
      <c r="J19">
        <v>729.49822998046875</v>
      </c>
      <c r="K19">
        <v>866.62799072265625</v>
      </c>
      <c r="P19" t="s">
        <v>48</v>
      </c>
      <c r="Q19">
        <v>0</v>
      </c>
      <c r="R19" t="s">
        <v>49</v>
      </c>
      <c r="S19" t="s">
        <v>44</v>
      </c>
      <c r="T19" t="s">
        <v>44</v>
      </c>
      <c r="U19" t="s">
        <v>65</v>
      </c>
      <c r="V19">
        <v>159.41401672363281</v>
      </c>
      <c r="W19">
        <v>153.50874526751599</v>
      </c>
      <c r="X19">
        <v>60.977508544921875</v>
      </c>
      <c r="Y19">
        <v>86.662796020507813</v>
      </c>
      <c r="Z19">
        <v>5.868401050567627</v>
      </c>
      <c r="AA19">
        <v>875.6248779296875</v>
      </c>
      <c r="AB19">
        <v>935.29586593665795</v>
      </c>
      <c r="AC19">
        <v>0</v>
      </c>
      <c r="AD19">
        <v>0</v>
      </c>
      <c r="AE19">
        <v>0</v>
      </c>
      <c r="AF19">
        <v>1381.578369140625</v>
      </c>
      <c r="AG19">
        <v>0</v>
      </c>
      <c r="AH19">
        <v>0</v>
      </c>
      <c r="AI19">
        <v>0</v>
      </c>
      <c r="AJ19" t="s">
        <v>50</v>
      </c>
      <c r="AK19" t="s">
        <v>51</v>
      </c>
      <c r="AL19" t="s">
        <v>50</v>
      </c>
      <c r="AU19" t="s">
        <v>48</v>
      </c>
      <c r="AV19" t="s">
        <v>48</v>
      </c>
      <c r="AW19" t="s">
        <v>48</v>
      </c>
      <c r="AX19" t="s">
        <v>48</v>
      </c>
      <c r="AY19">
        <v>58.68401051</v>
      </c>
    </row>
    <row r="20" spans="1:51" x14ac:dyDescent="0.3">
      <c r="A20" s="1">
        <v>45067.1260396875</v>
      </c>
      <c r="B20">
        <v>1821.7421627015599</v>
      </c>
      <c r="C20">
        <v>0.89999997615814209</v>
      </c>
      <c r="D20">
        <v>0</v>
      </c>
      <c r="E20">
        <v>0</v>
      </c>
      <c r="F20" t="s">
        <v>44</v>
      </c>
      <c r="G20" t="s">
        <v>44</v>
      </c>
      <c r="H20">
        <v>619.9373779296875</v>
      </c>
      <c r="I20">
        <v>807.9300537109375</v>
      </c>
      <c r="J20">
        <v>694.56365966796875</v>
      </c>
      <c r="K20">
        <v>931.172119140625</v>
      </c>
      <c r="P20" t="s">
        <v>48</v>
      </c>
      <c r="Q20">
        <v>0</v>
      </c>
      <c r="R20" t="s">
        <v>49</v>
      </c>
      <c r="S20" t="s">
        <v>44</v>
      </c>
      <c r="T20" t="s">
        <v>44</v>
      </c>
      <c r="U20" t="s">
        <v>65</v>
      </c>
      <c r="V20">
        <v>180.7960205078125</v>
      </c>
      <c r="W20">
        <v>182.17425970387399</v>
      </c>
      <c r="X20">
        <v>80.793006896972656</v>
      </c>
      <c r="Y20">
        <v>93.117210388183594</v>
      </c>
      <c r="Z20">
        <v>8.2639989852905273</v>
      </c>
      <c r="AA20">
        <v>852.572998046875</v>
      </c>
      <c r="AB20">
        <v>828.78068299632798</v>
      </c>
      <c r="AC20">
        <v>0</v>
      </c>
      <c r="AD20">
        <v>0</v>
      </c>
      <c r="AE20">
        <v>0</v>
      </c>
      <c r="AF20">
        <v>1639.5679931640625</v>
      </c>
      <c r="AG20">
        <v>0</v>
      </c>
      <c r="AH20">
        <v>0</v>
      </c>
      <c r="AI20">
        <v>0</v>
      </c>
      <c r="AJ20" t="s">
        <v>50</v>
      </c>
      <c r="AK20" t="s">
        <v>51</v>
      </c>
      <c r="AL20" t="s">
        <v>50</v>
      </c>
      <c r="AU20" t="s">
        <v>48</v>
      </c>
      <c r="AV20" t="s">
        <v>48</v>
      </c>
      <c r="AW20" t="s">
        <v>48</v>
      </c>
      <c r="AX20" t="s">
        <v>48</v>
      </c>
      <c r="AY20">
        <v>82.639989850000006</v>
      </c>
    </row>
    <row r="21" spans="1:51" x14ac:dyDescent="0.3">
      <c r="A21" s="1">
        <v>45068.1260396875</v>
      </c>
      <c r="B21">
        <v>1933.2910489993801</v>
      </c>
      <c r="C21">
        <v>0.89999997615814209</v>
      </c>
      <c r="D21">
        <v>0</v>
      </c>
      <c r="E21">
        <v>0</v>
      </c>
      <c r="F21" t="s">
        <v>44</v>
      </c>
      <c r="G21" t="s">
        <v>44</v>
      </c>
      <c r="H21">
        <v>672.6649169921875</v>
      </c>
      <c r="I21">
        <v>869.006103515625</v>
      </c>
      <c r="J21">
        <v>738.06695556640625</v>
      </c>
      <c r="K21">
        <v>1000.60693359375</v>
      </c>
      <c r="P21" t="s">
        <v>48</v>
      </c>
      <c r="Q21">
        <v>0</v>
      </c>
      <c r="R21" t="s">
        <v>49</v>
      </c>
      <c r="S21" t="s">
        <v>44</v>
      </c>
      <c r="T21" t="s">
        <v>44</v>
      </c>
      <c r="U21" t="s">
        <v>65</v>
      </c>
      <c r="V21">
        <v>124.56301879882813</v>
      </c>
      <c r="W21">
        <v>193.32915099318799</v>
      </c>
      <c r="X21">
        <v>86.900611877441406</v>
      </c>
      <c r="Y21">
        <v>100.06069183349609</v>
      </c>
      <c r="Z21">
        <v>6.3678011894226074</v>
      </c>
      <c r="AA21">
        <v>860.06927490234375</v>
      </c>
      <c r="AB21">
        <v>819.57703733237599</v>
      </c>
      <c r="AC21">
        <v>0</v>
      </c>
      <c r="AD21">
        <v>0</v>
      </c>
      <c r="AE21">
        <v>0</v>
      </c>
      <c r="AF21">
        <v>1739.9619140625</v>
      </c>
      <c r="AG21">
        <v>0</v>
      </c>
      <c r="AH21">
        <v>0</v>
      </c>
      <c r="AI21">
        <v>0</v>
      </c>
      <c r="AJ21" t="s">
        <v>50</v>
      </c>
      <c r="AK21" t="s">
        <v>51</v>
      </c>
      <c r="AL21" t="s">
        <v>50</v>
      </c>
      <c r="AU21" t="s">
        <v>48</v>
      </c>
      <c r="AV21" t="s">
        <v>48</v>
      </c>
      <c r="AW21" t="s">
        <v>48</v>
      </c>
      <c r="AX21" t="s">
        <v>48</v>
      </c>
      <c r="AY21">
        <v>63.678011890000001</v>
      </c>
    </row>
    <row r="22" spans="1:51" x14ac:dyDescent="0.3">
      <c r="A22" s="1">
        <v>45069.1260396875</v>
      </c>
      <c r="B22">
        <v>1827.98400306484</v>
      </c>
      <c r="C22">
        <v>0.89999997615814209</v>
      </c>
      <c r="D22">
        <v>0</v>
      </c>
      <c r="E22">
        <v>0</v>
      </c>
      <c r="F22" t="s">
        <v>44</v>
      </c>
      <c r="G22" t="s">
        <v>44</v>
      </c>
      <c r="H22">
        <v>638.909423828125</v>
      </c>
      <c r="I22">
        <v>746.82403564453125</v>
      </c>
      <c r="J22">
        <v>733.1033935546875</v>
      </c>
      <c r="K22">
        <v>977.4649658203125</v>
      </c>
      <c r="P22" t="s">
        <v>48</v>
      </c>
      <c r="Q22">
        <v>0</v>
      </c>
      <c r="R22" t="s">
        <v>49</v>
      </c>
      <c r="S22" t="s">
        <v>44</v>
      </c>
      <c r="T22" t="s">
        <v>44</v>
      </c>
      <c r="U22" t="s">
        <v>65</v>
      </c>
      <c r="V22">
        <v>229.96197509765625</v>
      </c>
      <c r="W22">
        <v>182.79844388901901</v>
      </c>
      <c r="X22">
        <v>74.682403564453125</v>
      </c>
      <c r="Y22">
        <v>97.746498107910156</v>
      </c>
      <c r="Z22">
        <v>10.369500160217285</v>
      </c>
      <c r="AA22">
        <v>950.55767822265625</v>
      </c>
      <c r="AB22">
        <v>833.33867033094998</v>
      </c>
      <c r="AC22">
        <v>0</v>
      </c>
      <c r="AD22">
        <v>0</v>
      </c>
      <c r="AE22">
        <v>0</v>
      </c>
      <c r="AF22">
        <v>1645.185546875</v>
      </c>
      <c r="AG22">
        <v>0</v>
      </c>
      <c r="AH22">
        <v>0</v>
      </c>
      <c r="AI22">
        <v>0</v>
      </c>
      <c r="AJ22" t="s">
        <v>50</v>
      </c>
      <c r="AK22" t="s">
        <v>51</v>
      </c>
      <c r="AL22" t="s">
        <v>50</v>
      </c>
      <c r="AU22" t="s">
        <v>48</v>
      </c>
      <c r="AV22" t="s">
        <v>48</v>
      </c>
      <c r="AW22" t="s">
        <v>48</v>
      </c>
      <c r="AX22" t="s">
        <v>48</v>
      </c>
      <c r="AY22">
        <v>103.6950016</v>
      </c>
    </row>
    <row r="23" spans="1:51" x14ac:dyDescent="0.3">
      <c r="A23" s="1">
        <v>45070.1260396875</v>
      </c>
      <c r="B23">
        <v>1832.5671863565599</v>
      </c>
      <c r="C23">
        <v>0.89999997615814209</v>
      </c>
      <c r="D23">
        <v>0</v>
      </c>
      <c r="E23">
        <v>0</v>
      </c>
      <c r="F23" t="s">
        <v>44</v>
      </c>
      <c r="G23" t="s">
        <v>44</v>
      </c>
      <c r="H23">
        <v>672.4794921875</v>
      </c>
      <c r="I23">
        <v>822.6990966796875</v>
      </c>
      <c r="J23">
        <v>735.9722900390625</v>
      </c>
      <c r="K23">
        <v>917.194091796875</v>
      </c>
      <c r="P23" t="s">
        <v>48</v>
      </c>
      <c r="Q23">
        <v>0</v>
      </c>
      <c r="R23" t="s">
        <v>49</v>
      </c>
      <c r="S23" t="s">
        <v>44</v>
      </c>
      <c r="T23" t="s">
        <v>44</v>
      </c>
      <c r="U23" t="s">
        <v>65</v>
      </c>
      <c r="V23">
        <v>211.28102111816406</v>
      </c>
      <c r="W23">
        <v>183.25676232746301</v>
      </c>
      <c r="X23">
        <v>82.269912719726563</v>
      </c>
      <c r="Y23">
        <v>91.719406127929688</v>
      </c>
      <c r="Z23">
        <v>9.267399787902832</v>
      </c>
      <c r="AA23">
        <v>908.22933752269796</v>
      </c>
      <c r="AB23">
        <v>891.57467211858102</v>
      </c>
      <c r="AC23">
        <v>0</v>
      </c>
      <c r="AD23">
        <v>0</v>
      </c>
      <c r="AE23">
        <v>0</v>
      </c>
      <c r="AF23">
        <v>1649.3104248046875</v>
      </c>
      <c r="AG23">
        <v>0</v>
      </c>
      <c r="AH23">
        <v>0</v>
      </c>
      <c r="AI23">
        <v>0</v>
      </c>
      <c r="AJ23" t="s">
        <v>50</v>
      </c>
      <c r="AK23" t="s">
        <v>51</v>
      </c>
      <c r="AL23" t="s">
        <v>50</v>
      </c>
      <c r="AU23" t="s">
        <v>48</v>
      </c>
      <c r="AV23" t="s">
        <v>48</v>
      </c>
      <c r="AW23" t="s">
        <v>48</v>
      </c>
      <c r="AX23" t="s">
        <v>48</v>
      </c>
      <c r="AY23">
        <v>92.673997880000002</v>
      </c>
    </row>
    <row r="24" spans="1:51" x14ac:dyDescent="0.3">
      <c r="A24" s="1">
        <v>45071.1260396875</v>
      </c>
      <c r="B24">
        <v>1741.85791969656</v>
      </c>
      <c r="C24">
        <v>0.89999997615814209</v>
      </c>
      <c r="D24">
        <v>0</v>
      </c>
      <c r="E24">
        <v>0</v>
      </c>
      <c r="F24" t="s">
        <v>44</v>
      </c>
      <c r="G24" t="s">
        <v>44</v>
      </c>
      <c r="H24">
        <v>245.05912780761719</v>
      </c>
      <c r="I24">
        <v>744.8299560546875</v>
      </c>
      <c r="J24" t="s">
        <v>66</v>
      </c>
      <c r="K24">
        <v>915.199951171875</v>
      </c>
      <c r="P24" t="s">
        <v>48</v>
      </c>
      <c r="Q24">
        <v>0</v>
      </c>
      <c r="R24" t="s">
        <v>49</v>
      </c>
      <c r="S24" t="s">
        <v>44</v>
      </c>
      <c r="T24" t="s">
        <v>44</v>
      </c>
      <c r="U24" t="s">
        <v>65</v>
      </c>
      <c r="V24">
        <v>207.14201354980469</v>
      </c>
      <c r="W24">
        <v>174.185833498785</v>
      </c>
      <c r="X24">
        <v>74.482994079589844</v>
      </c>
      <c r="Y24">
        <v>91.519996643066406</v>
      </c>
      <c r="Z24">
        <v>8.1828012466430664</v>
      </c>
      <c r="AA24">
        <v>365.57059069119401</v>
      </c>
      <c r="AB24" t="s">
        <v>58</v>
      </c>
      <c r="AC24">
        <v>0</v>
      </c>
      <c r="AD24">
        <v>0</v>
      </c>
      <c r="AE24">
        <v>0</v>
      </c>
      <c r="AF24">
        <v>1567.672119140625</v>
      </c>
      <c r="AG24">
        <v>0</v>
      </c>
      <c r="AH24">
        <v>0</v>
      </c>
      <c r="AI24">
        <v>0</v>
      </c>
      <c r="AJ24" t="s">
        <v>50</v>
      </c>
      <c r="AK24" t="s">
        <v>51</v>
      </c>
      <c r="AL24" t="s">
        <v>50</v>
      </c>
      <c r="AU24" t="s">
        <v>48</v>
      </c>
      <c r="AV24" t="s">
        <v>48</v>
      </c>
      <c r="AW24" t="s">
        <v>48</v>
      </c>
      <c r="AX24" t="s">
        <v>48</v>
      </c>
      <c r="AY24">
        <v>81.828012470000004</v>
      </c>
    </row>
    <row r="25" spans="1:51" x14ac:dyDescent="0.3">
      <c r="A25" s="1">
        <v>45072.1260396875</v>
      </c>
      <c r="B25">
        <v>1431.5941772460901</v>
      </c>
      <c r="C25">
        <v>0.89999997615814209</v>
      </c>
      <c r="D25">
        <v>0</v>
      </c>
      <c r="E25">
        <v>0</v>
      </c>
      <c r="F25" t="s">
        <v>44</v>
      </c>
      <c r="G25" t="s">
        <v>44</v>
      </c>
      <c r="H25">
        <v>491.51162719726563</v>
      </c>
      <c r="I25">
        <v>575.47705078125</v>
      </c>
      <c r="J25">
        <v>642.30419921875</v>
      </c>
      <c r="K25">
        <v>825.49212646484375</v>
      </c>
      <c r="P25" t="s">
        <v>48</v>
      </c>
      <c r="Q25">
        <v>0</v>
      </c>
      <c r="R25" t="s">
        <v>49</v>
      </c>
      <c r="S25" t="s">
        <v>44</v>
      </c>
      <c r="T25" t="s">
        <v>44</v>
      </c>
      <c r="U25" t="s">
        <v>65</v>
      </c>
      <c r="V25">
        <v>84.185012817382813</v>
      </c>
      <c r="W25">
        <v>143.15945185647399</v>
      </c>
      <c r="X25">
        <v>57.547706604003906</v>
      </c>
      <c r="Y25">
        <v>82.549209594726563</v>
      </c>
      <c r="Z25">
        <v>3.0625</v>
      </c>
      <c r="AA25">
        <v>948.99361137881897</v>
      </c>
      <c r="AB25">
        <v>864.54047150692202</v>
      </c>
      <c r="AC25">
        <v>0</v>
      </c>
      <c r="AD25">
        <v>0</v>
      </c>
      <c r="AE25">
        <v>0</v>
      </c>
      <c r="AF25">
        <v>1288.434814453125</v>
      </c>
      <c r="AG25">
        <v>0</v>
      </c>
      <c r="AH25">
        <v>0</v>
      </c>
      <c r="AI25">
        <v>0</v>
      </c>
      <c r="AJ25" t="s">
        <v>50</v>
      </c>
      <c r="AK25" t="s">
        <v>51</v>
      </c>
      <c r="AL25" t="s">
        <v>50</v>
      </c>
      <c r="AU25" t="s">
        <v>48</v>
      </c>
      <c r="AV25" t="s">
        <v>48</v>
      </c>
      <c r="AW25" t="s">
        <v>48</v>
      </c>
      <c r="AX25" t="s">
        <v>48</v>
      </c>
      <c r="AY25">
        <v>30.625</v>
      </c>
    </row>
    <row r="26" spans="1:51" x14ac:dyDescent="0.3">
      <c r="A26" s="1">
        <v>45073.1260396875</v>
      </c>
      <c r="B26">
        <v>1694.3801784812499</v>
      </c>
      <c r="C26">
        <v>0.89999997615814209</v>
      </c>
      <c r="D26">
        <v>0</v>
      </c>
      <c r="E26">
        <v>0</v>
      </c>
      <c r="F26" t="s">
        <v>44</v>
      </c>
      <c r="G26" t="s">
        <v>44</v>
      </c>
      <c r="H26">
        <v>672.81072998046875</v>
      </c>
      <c r="I26">
        <v>820.97601318359375</v>
      </c>
      <c r="J26">
        <v>612.3885498046875</v>
      </c>
      <c r="K26">
        <v>757.45416259765625</v>
      </c>
      <c r="P26" t="s">
        <v>48</v>
      </c>
      <c r="Q26">
        <v>0</v>
      </c>
      <c r="R26" t="s">
        <v>49</v>
      </c>
      <c r="S26" t="s">
        <v>44</v>
      </c>
      <c r="T26" t="s">
        <v>44</v>
      </c>
      <c r="U26" t="s">
        <v>65</v>
      </c>
      <c r="V26">
        <v>225.19294738769531</v>
      </c>
      <c r="W26">
        <v>169.43805824529599</v>
      </c>
      <c r="X26">
        <v>82.097602844238281</v>
      </c>
      <c r="Y26">
        <v>75.745414733886719</v>
      </c>
      <c r="Z26">
        <v>11.595000267028809</v>
      </c>
      <c r="AA26">
        <v>910.58384843781596</v>
      </c>
      <c r="AB26">
        <v>898.31400801659004</v>
      </c>
      <c r="AC26">
        <v>0</v>
      </c>
      <c r="AD26">
        <v>0</v>
      </c>
      <c r="AE26">
        <v>0</v>
      </c>
      <c r="AF26">
        <v>1524.942138671875</v>
      </c>
      <c r="AG26">
        <v>0</v>
      </c>
      <c r="AH26">
        <v>0</v>
      </c>
      <c r="AI26">
        <v>0</v>
      </c>
      <c r="AJ26" t="s">
        <v>50</v>
      </c>
      <c r="AK26" t="s">
        <v>51</v>
      </c>
      <c r="AL26" t="s">
        <v>50</v>
      </c>
      <c r="AU26" t="s">
        <v>48</v>
      </c>
      <c r="AV26" t="s">
        <v>48</v>
      </c>
      <c r="AW26" t="s">
        <v>48</v>
      </c>
      <c r="AX26" t="s">
        <v>48</v>
      </c>
      <c r="AY26">
        <v>115.9500027</v>
      </c>
    </row>
    <row r="27" spans="1:51" x14ac:dyDescent="0.3">
      <c r="A27" s="1">
        <v>45074.1260396875</v>
      </c>
      <c r="B27">
        <v>1876.01702877344</v>
      </c>
      <c r="C27">
        <v>0.89999997615814209</v>
      </c>
      <c r="D27">
        <v>0</v>
      </c>
      <c r="E27">
        <v>0</v>
      </c>
      <c r="F27" t="s">
        <v>44</v>
      </c>
      <c r="G27" t="s">
        <v>44</v>
      </c>
      <c r="H27">
        <v>614.6094970703125</v>
      </c>
      <c r="I27">
        <v>899.22900390625</v>
      </c>
      <c r="J27">
        <v>738.21136474609375</v>
      </c>
      <c r="K27">
        <v>875.2020263671875</v>
      </c>
      <c r="P27" t="s">
        <v>48</v>
      </c>
      <c r="Q27">
        <v>0</v>
      </c>
      <c r="R27" t="s">
        <v>49</v>
      </c>
      <c r="S27" t="s">
        <v>44</v>
      </c>
      <c r="T27" t="s">
        <v>44</v>
      </c>
      <c r="U27" t="s">
        <v>65</v>
      </c>
      <c r="V27">
        <v>246.427001953125</v>
      </c>
      <c r="W27">
        <v>187.60174760507499</v>
      </c>
      <c r="X27">
        <v>89.922897338867188</v>
      </c>
      <c r="Y27">
        <v>87.52020263671875</v>
      </c>
      <c r="Z27">
        <v>10.158599853515625</v>
      </c>
      <c r="AA27">
        <v>759.42775012080199</v>
      </c>
      <c r="AB27">
        <v>937.19494003269995</v>
      </c>
      <c r="AC27">
        <v>0</v>
      </c>
      <c r="AD27">
        <v>0</v>
      </c>
      <c r="AE27">
        <v>0</v>
      </c>
      <c r="AF27">
        <v>1688.415283203125</v>
      </c>
      <c r="AG27">
        <v>0</v>
      </c>
      <c r="AH27">
        <v>0</v>
      </c>
      <c r="AI27">
        <v>0</v>
      </c>
      <c r="AJ27" t="s">
        <v>50</v>
      </c>
      <c r="AK27" t="s">
        <v>51</v>
      </c>
      <c r="AL27" t="s">
        <v>50</v>
      </c>
      <c r="AU27" t="s">
        <v>48</v>
      </c>
      <c r="AV27" t="s">
        <v>48</v>
      </c>
      <c r="AW27" t="s">
        <v>48</v>
      </c>
      <c r="AX27" t="s">
        <v>48</v>
      </c>
      <c r="AY27">
        <v>101.5859985</v>
      </c>
    </row>
    <row r="28" spans="1:51" x14ac:dyDescent="0.3">
      <c r="A28" s="1">
        <v>45075.1260396875</v>
      </c>
      <c r="B28">
        <v>1979.5431671624999</v>
      </c>
      <c r="C28">
        <v>0.89999997615814209</v>
      </c>
      <c r="D28">
        <v>0</v>
      </c>
      <c r="E28">
        <v>0</v>
      </c>
      <c r="F28" t="s">
        <v>44</v>
      </c>
      <c r="G28" t="s">
        <v>44</v>
      </c>
      <c r="H28">
        <v>669.0125732421875</v>
      </c>
      <c r="I28">
        <v>884.1060791015625</v>
      </c>
      <c r="J28">
        <v>741.26385498046875</v>
      </c>
      <c r="K28">
        <v>968.6370849609375</v>
      </c>
      <c r="P28" t="s">
        <v>48</v>
      </c>
      <c r="Q28">
        <v>0</v>
      </c>
      <c r="R28" t="s">
        <v>49</v>
      </c>
      <c r="S28" t="s">
        <v>44</v>
      </c>
      <c r="T28" t="s">
        <v>44</v>
      </c>
      <c r="U28" t="s">
        <v>65</v>
      </c>
      <c r="V28">
        <v>271.32598876953125</v>
      </c>
      <c r="W28">
        <v>197.954363912237</v>
      </c>
      <c r="X28">
        <v>88.410606384277344</v>
      </c>
      <c r="Y28">
        <v>96.86370849609375</v>
      </c>
      <c r="Z28">
        <v>12.680000305175781</v>
      </c>
      <c r="AA28">
        <v>840.789743296197</v>
      </c>
      <c r="AB28">
        <v>850.29428478615705</v>
      </c>
      <c r="AC28">
        <v>0</v>
      </c>
      <c r="AD28">
        <v>0</v>
      </c>
      <c r="AE28">
        <v>0</v>
      </c>
      <c r="AF28">
        <v>1781.5888671875</v>
      </c>
      <c r="AG28">
        <v>0</v>
      </c>
      <c r="AH28">
        <v>0</v>
      </c>
      <c r="AI28">
        <v>0</v>
      </c>
      <c r="AJ28" t="s">
        <v>50</v>
      </c>
      <c r="AK28" t="s">
        <v>51</v>
      </c>
      <c r="AL28" t="s">
        <v>50</v>
      </c>
      <c r="AU28" t="s">
        <v>48</v>
      </c>
      <c r="AV28" t="s">
        <v>48</v>
      </c>
      <c r="AW28" t="s">
        <v>48</v>
      </c>
      <c r="AX28" t="s">
        <v>48</v>
      </c>
      <c r="AY28">
        <v>126.8000031</v>
      </c>
    </row>
    <row r="29" spans="1:51" x14ac:dyDescent="0.3">
      <c r="A29" s="1">
        <v>45076.1260396875</v>
      </c>
      <c r="B29">
        <v>1760.3090820257801</v>
      </c>
      <c r="C29">
        <v>0.89999997615814209</v>
      </c>
      <c r="D29">
        <v>0</v>
      </c>
      <c r="E29">
        <v>0</v>
      </c>
      <c r="F29" t="s">
        <v>44</v>
      </c>
      <c r="G29" t="s">
        <v>44</v>
      </c>
      <c r="H29">
        <v>631.5733642578125</v>
      </c>
      <c r="I29">
        <v>768.40203857421875</v>
      </c>
      <c r="J29">
        <v>739.98553466796875</v>
      </c>
      <c r="K29">
        <v>874.0240478515625</v>
      </c>
      <c r="P29" t="s">
        <v>48</v>
      </c>
      <c r="Q29">
        <v>0</v>
      </c>
      <c r="R29" t="s">
        <v>49</v>
      </c>
      <c r="S29" t="s">
        <v>44</v>
      </c>
      <c r="T29" t="s">
        <v>44</v>
      </c>
      <c r="U29" t="s">
        <v>65</v>
      </c>
      <c r="V29">
        <v>247.90896606445313</v>
      </c>
      <c r="W29">
        <v>176.03095017161701</v>
      </c>
      <c r="X29">
        <v>76.840202331542969</v>
      </c>
      <c r="Y29">
        <v>87.40240478515625</v>
      </c>
      <c r="Z29">
        <v>11.788299560546875</v>
      </c>
      <c r="AA29">
        <v>913.25655824750697</v>
      </c>
      <c r="AB29">
        <v>940.71339903427099</v>
      </c>
      <c r="AC29">
        <v>0</v>
      </c>
      <c r="AD29">
        <v>0</v>
      </c>
      <c r="AE29">
        <v>0</v>
      </c>
      <c r="AF29">
        <v>1584.2781982421875</v>
      </c>
      <c r="AG29">
        <v>0</v>
      </c>
      <c r="AH29">
        <v>0</v>
      </c>
      <c r="AI29">
        <v>0</v>
      </c>
      <c r="AJ29" t="s">
        <v>50</v>
      </c>
      <c r="AK29" t="s">
        <v>51</v>
      </c>
      <c r="AL29" t="s">
        <v>50</v>
      </c>
      <c r="AU29" t="s">
        <v>48</v>
      </c>
      <c r="AV29" t="s">
        <v>48</v>
      </c>
      <c r="AW29" t="s">
        <v>48</v>
      </c>
      <c r="AX29" t="s">
        <v>48</v>
      </c>
      <c r="AY29">
        <v>117.8829956</v>
      </c>
    </row>
    <row r="30" spans="1:51" x14ac:dyDescent="0.3">
      <c r="A30" s="1">
        <v>45077.1260396875</v>
      </c>
      <c r="B30">
        <v>1549.73515797141</v>
      </c>
      <c r="C30">
        <v>0.89999997615814209</v>
      </c>
      <c r="D30">
        <v>0</v>
      </c>
      <c r="E30">
        <v>0</v>
      </c>
      <c r="F30" t="s">
        <v>44</v>
      </c>
      <c r="G30" t="s">
        <v>44</v>
      </c>
      <c r="H30">
        <v>546.609130859375</v>
      </c>
      <c r="I30">
        <v>667.20404052734375</v>
      </c>
      <c r="J30">
        <v>686.91845703125</v>
      </c>
      <c r="K30">
        <v>820.6461181640625</v>
      </c>
      <c r="P30" t="s">
        <v>48</v>
      </c>
      <c r="Q30">
        <v>0</v>
      </c>
      <c r="R30" t="s">
        <v>49</v>
      </c>
      <c r="S30" t="s">
        <v>44</v>
      </c>
      <c r="T30" t="s">
        <v>44</v>
      </c>
      <c r="U30" t="s">
        <v>44</v>
      </c>
      <c r="V30">
        <v>199.16200256347656</v>
      </c>
      <c r="W30">
        <v>154.973552745706</v>
      </c>
      <c r="X30">
        <v>66.720405578613281</v>
      </c>
      <c r="Y30">
        <v>82.064613342285156</v>
      </c>
      <c r="Z30">
        <v>6.188499927520752</v>
      </c>
      <c r="AA30">
        <v>910.28150000667802</v>
      </c>
      <c r="AB30">
        <v>930.05106720582899</v>
      </c>
      <c r="AC30">
        <v>0</v>
      </c>
      <c r="AD30">
        <v>0</v>
      </c>
      <c r="AE30">
        <v>0</v>
      </c>
      <c r="AF30">
        <v>1394.7615966796875</v>
      </c>
      <c r="AG30">
        <v>0</v>
      </c>
      <c r="AH30">
        <v>0</v>
      </c>
      <c r="AI30">
        <v>0</v>
      </c>
      <c r="AJ30" t="s">
        <v>50</v>
      </c>
      <c r="AK30" t="s">
        <v>51</v>
      </c>
      <c r="AL30" t="s">
        <v>50</v>
      </c>
      <c r="AU30" t="s">
        <v>48</v>
      </c>
      <c r="AV30" t="s">
        <v>48</v>
      </c>
      <c r="AW30" t="s">
        <v>48</v>
      </c>
      <c r="AX30" t="s">
        <v>48</v>
      </c>
      <c r="AY30">
        <v>61.884999280000002</v>
      </c>
    </row>
    <row r="31" spans="1:51" x14ac:dyDescent="0.3">
      <c r="A31" s="1">
        <v>45078.1260396875</v>
      </c>
      <c r="B31">
        <v>1733.4040856357799</v>
      </c>
      <c r="C31">
        <v>0.89999997615814209</v>
      </c>
      <c r="D31">
        <v>0</v>
      </c>
      <c r="E31">
        <v>0</v>
      </c>
      <c r="F31" t="s">
        <v>44</v>
      </c>
      <c r="G31" t="s">
        <v>44</v>
      </c>
      <c r="H31">
        <v>602.10931396484375</v>
      </c>
      <c r="I31">
        <v>790.97802734375</v>
      </c>
      <c r="J31">
        <v>738.7030029296875</v>
      </c>
      <c r="K31">
        <v>916.07305908203125</v>
      </c>
      <c r="P31" t="s">
        <v>48</v>
      </c>
      <c r="Q31">
        <v>0</v>
      </c>
      <c r="R31" t="s">
        <v>49</v>
      </c>
      <c r="S31" t="s">
        <v>44</v>
      </c>
      <c r="T31" t="s">
        <v>44</v>
      </c>
      <c r="U31">
        <v>0</v>
      </c>
      <c r="V31">
        <v>75.941986083984375</v>
      </c>
      <c r="W31">
        <v>173.34044989115199</v>
      </c>
      <c r="X31">
        <v>79.097801208496094</v>
      </c>
      <c r="Y31">
        <v>91.607307434082031</v>
      </c>
      <c r="Z31">
        <v>2.6352999210357666</v>
      </c>
      <c r="AA31">
        <v>845.80145521767395</v>
      </c>
      <c r="AB31">
        <v>895.97780953941106</v>
      </c>
      <c r="AC31">
        <v>0</v>
      </c>
      <c r="AD31">
        <v>0</v>
      </c>
      <c r="AE31">
        <v>0</v>
      </c>
      <c r="AF31">
        <v>1560.063720703125</v>
      </c>
      <c r="AG31">
        <v>0</v>
      </c>
      <c r="AH31">
        <v>0</v>
      </c>
      <c r="AI31">
        <v>0</v>
      </c>
      <c r="AJ31" t="s">
        <v>50</v>
      </c>
      <c r="AK31" t="s">
        <v>51</v>
      </c>
      <c r="AL31" t="s">
        <v>50</v>
      </c>
      <c r="AU31" t="s">
        <v>48</v>
      </c>
      <c r="AV31" t="s">
        <v>48</v>
      </c>
      <c r="AW31" t="s">
        <v>48</v>
      </c>
      <c r="AX31" t="s">
        <v>48</v>
      </c>
      <c r="AY31">
        <v>26.35299921</v>
      </c>
    </row>
    <row r="32" spans="1:51" x14ac:dyDescent="0.3">
      <c r="A32" s="1">
        <v>45079.1260396875</v>
      </c>
      <c r="B32">
        <v>1939.1451282545299</v>
      </c>
      <c r="C32">
        <v>0.89999997615814209</v>
      </c>
      <c r="D32">
        <v>0</v>
      </c>
      <c r="E32">
        <v>0</v>
      </c>
      <c r="F32" t="s">
        <v>44</v>
      </c>
      <c r="G32" t="s">
        <v>44</v>
      </c>
      <c r="H32">
        <v>699.54833984375</v>
      </c>
      <c r="I32">
        <v>892.56304931640625</v>
      </c>
      <c r="J32">
        <v>738.95172119140625</v>
      </c>
      <c r="K32">
        <v>1024.757080078125</v>
      </c>
      <c r="P32" t="s">
        <v>48</v>
      </c>
      <c r="Q32">
        <v>0</v>
      </c>
      <c r="R32" t="s">
        <v>49</v>
      </c>
      <c r="S32" t="s">
        <v>44</v>
      </c>
      <c r="T32" t="s">
        <v>44</v>
      </c>
      <c r="U32">
        <v>0</v>
      </c>
      <c r="V32">
        <v>66.910026550292969</v>
      </c>
      <c r="W32">
        <v>193.91455905827601</v>
      </c>
      <c r="X32">
        <v>89.256301879882813</v>
      </c>
      <c r="Y32">
        <v>102.4757080078125</v>
      </c>
      <c r="Z32">
        <v>2.182499885559082</v>
      </c>
      <c r="AA32">
        <v>870.83590828211095</v>
      </c>
      <c r="AB32">
        <v>801.221559876848</v>
      </c>
      <c r="AC32">
        <v>0</v>
      </c>
      <c r="AD32">
        <v>0</v>
      </c>
      <c r="AE32">
        <v>0</v>
      </c>
      <c r="AF32">
        <v>1745.2305908203125</v>
      </c>
      <c r="AG32">
        <v>0</v>
      </c>
      <c r="AH32">
        <v>0</v>
      </c>
      <c r="AI32">
        <v>0</v>
      </c>
      <c r="AJ32" t="s">
        <v>50</v>
      </c>
      <c r="AK32" t="s">
        <v>51</v>
      </c>
      <c r="AL32" t="s">
        <v>50</v>
      </c>
      <c r="AU32" t="s">
        <v>48</v>
      </c>
      <c r="AV32" t="s">
        <v>48</v>
      </c>
      <c r="AW32" t="s">
        <v>48</v>
      </c>
      <c r="AX32" t="s">
        <v>48</v>
      </c>
      <c r="AY32">
        <v>21.824998860000001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Dladla, Keamogetswe</dc:creator>
  <cp:lastModifiedBy>Keamogetswe Dladla</cp:lastModifiedBy>
  <dcterms:created xsi:type="dcterms:W3CDTF">2023-05-22T07:08:27Z</dcterms:created>
  <dcterms:modified xsi:type="dcterms:W3CDTF">2023-07-20T00:51:22Z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1e5c6f-754a-402f-a84b-5121252711c5_Enabled">
    <vt:lpwstr>true</vt:lpwstr>
  </property>
  <property fmtid="{D5CDD505-2E9C-101B-9397-08002B2CF9AE}" pid="3" name="MSIP_Label_191e5c6f-754a-402f-a84b-5121252711c5_SetDate">
    <vt:lpwstr>2023-05-22T08:58:37Z</vt:lpwstr>
  </property>
  <property fmtid="{D5CDD505-2E9C-101B-9397-08002B2CF9AE}" pid="4" name="MSIP_Label_191e5c6f-754a-402f-a84b-5121252711c5_Method">
    <vt:lpwstr>Standard</vt:lpwstr>
  </property>
  <property fmtid="{D5CDD505-2E9C-101B-9397-08002B2CF9AE}" pid="5" name="MSIP_Label_191e5c6f-754a-402f-a84b-5121252711c5_Name">
    <vt:lpwstr>General</vt:lpwstr>
  </property>
  <property fmtid="{D5CDD505-2E9C-101B-9397-08002B2CF9AE}" pid="6" name="MSIP_Label_191e5c6f-754a-402f-a84b-5121252711c5_SiteId">
    <vt:lpwstr>de815729-dc01-44bb-86e0-92dabde59cc2</vt:lpwstr>
  </property>
  <property fmtid="{D5CDD505-2E9C-101B-9397-08002B2CF9AE}" pid="7" name="MSIP_Label_191e5c6f-754a-402f-a84b-5121252711c5_ActionId">
    <vt:lpwstr>fd1342a5-2605-4841-ad85-9986bbadc483</vt:lpwstr>
  </property>
  <property fmtid="{D5CDD505-2E9C-101B-9397-08002B2CF9AE}" pid="8" name="MSIP_Label_191e5c6f-754a-402f-a84b-5121252711c5_ContentBits">
    <vt:lpwstr>0</vt:lpwstr>
  </property>
</Properties>
</file>