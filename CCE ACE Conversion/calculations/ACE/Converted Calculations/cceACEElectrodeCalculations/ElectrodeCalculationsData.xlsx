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ElectrodeCalculations\"/>
    </mc:Choice>
  </mc:AlternateContent>
  <xr:revisionPtr revIDLastSave="0" documentId="13_ncr:1_{4E954908-E923-44F5-922F-46C033C813A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P2" i="1" a="1"/>
  <c r="H2" i="1" a="1"/>
  <c r="G2" i="1" a="1"/>
  <c r="J2" i="1" a="1"/>
  <c r="D2" i="1" a="1"/>
  <c r="Q2" i="1" a="1"/>
  <c r="V2" i="1" a="1"/>
  <c r="N2" i="1" a="1"/>
  <c r="U2" i="1" a="1"/>
  <c r="M2" i="1" a="1"/>
  <c r="E2" i="1" a="1"/>
  <c r="T2" i="1" a="1"/>
  <c r="C2" i="1" a="1"/>
  <c r="R2" i="1" a="1"/>
  <c r="A2" i="1" a="1"/>
  <c r="O2" i="1" a="1"/>
  <c r="W2" i="1" a="1"/>
  <c r="F2" i="1" a="1"/>
  <c r="L2" i="1" a="1"/>
  <c r="I2" i="1" a="1"/>
  <c r="K2" i="1" a="1"/>
  <c r="S2" i="1" a="1"/>
  <c r="S3" i="1" l="1"/>
  <c r="S19" i="1"/>
  <c r="S10" i="1"/>
  <c r="S11" i="1"/>
  <c r="S15" i="1"/>
  <c r="S2" i="1"/>
  <c r="S4" i="1"/>
  <c r="S20" i="1"/>
  <c r="S16" i="1"/>
  <c r="S5" i="1"/>
  <c r="S21" i="1"/>
  <c r="S12" i="1"/>
  <c r="S6" i="1"/>
  <c r="S22" i="1"/>
  <c r="S14" i="1"/>
  <c r="S7" i="1"/>
  <c r="S8" i="1"/>
  <c r="S9" i="1"/>
  <c r="S13" i="1"/>
  <c r="S18" i="1"/>
  <c r="S17" i="1"/>
  <c r="K3" i="1"/>
  <c r="K19" i="1"/>
  <c r="K9" i="1"/>
  <c r="K12" i="1"/>
  <c r="K14" i="1"/>
  <c r="K4" i="1"/>
  <c r="K20" i="1"/>
  <c r="K7" i="1"/>
  <c r="K5" i="1"/>
  <c r="K21" i="1"/>
  <c r="K2" i="1"/>
  <c r="K6" i="1"/>
  <c r="K22" i="1"/>
  <c r="K15" i="1"/>
  <c r="K8" i="1"/>
  <c r="K10" i="1"/>
  <c r="K11" i="1"/>
  <c r="K13" i="1"/>
  <c r="K18" i="1"/>
  <c r="K16" i="1"/>
  <c r="K17" i="1"/>
  <c r="I7" i="1"/>
  <c r="I14" i="1"/>
  <c r="I17" i="1"/>
  <c r="I5" i="1"/>
  <c r="I6" i="1"/>
  <c r="I8" i="1"/>
  <c r="I16" i="1"/>
  <c r="I9" i="1"/>
  <c r="I18" i="1"/>
  <c r="I10" i="1"/>
  <c r="I11" i="1"/>
  <c r="I13" i="1"/>
  <c r="I21" i="1"/>
  <c r="I12" i="1"/>
  <c r="I15" i="1"/>
  <c r="I2" i="1"/>
  <c r="I3" i="1"/>
  <c r="I20" i="1"/>
  <c r="I19" i="1"/>
  <c r="I4" i="1"/>
  <c r="I22" i="1"/>
  <c r="L9" i="1"/>
  <c r="L16" i="1"/>
  <c r="L3" i="1"/>
  <c r="L10" i="1"/>
  <c r="L13" i="1"/>
  <c r="L22" i="1"/>
  <c r="L7" i="1"/>
  <c r="L11" i="1"/>
  <c r="L15" i="1"/>
  <c r="L19" i="1"/>
  <c r="L21" i="1"/>
  <c r="L12" i="1"/>
  <c r="L17" i="1"/>
  <c r="L18" i="1"/>
  <c r="L4" i="1"/>
  <c r="L2" i="1"/>
  <c r="L14" i="1"/>
  <c r="L6" i="1"/>
  <c r="L8" i="1"/>
  <c r="L5" i="1"/>
  <c r="L20" i="1"/>
  <c r="F5" i="1"/>
  <c r="F21" i="1"/>
  <c r="F9" i="1"/>
  <c r="F16" i="1"/>
  <c r="F6" i="1"/>
  <c r="F22" i="1"/>
  <c r="F7" i="1"/>
  <c r="F11" i="1"/>
  <c r="F15" i="1"/>
  <c r="F2" i="1"/>
  <c r="F8" i="1"/>
  <c r="F18" i="1"/>
  <c r="F14" i="1"/>
  <c r="F17" i="1"/>
  <c r="F19" i="1"/>
  <c r="F10" i="1"/>
  <c r="F20" i="1"/>
  <c r="F3" i="1"/>
  <c r="F12" i="1"/>
  <c r="F13" i="1"/>
  <c r="F4" i="1"/>
  <c r="W11" i="1"/>
  <c r="W17" i="1"/>
  <c r="W12" i="1"/>
  <c r="W21" i="1"/>
  <c r="W6" i="1"/>
  <c r="W13" i="1"/>
  <c r="W22" i="1"/>
  <c r="W14" i="1"/>
  <c r="W15" i="1"/>
  <c r="W3" i="1"/>
  <c r="W16" i="1"/>
  <c r="W19" i="1"/>
  <c r="W4" i="1"/>
  <c r="W5" i="1"/>
  <c r="W7" i="1"/>
  <c r="W10" i="1"/>
  <c r="W2" i="1"/>
  <c r="W18" i="1"/>
  <c r="W20" i="1"/>
  <c r="W8" i="1"/>
  <c r="W9" i="1"/>
  <c r="O11" i="1"/>
  <c r="O5" i="1"/>
  <c r="O6" i="1"/>
  <c r="O8" i="1"/>
  <c r="O12" i="1"/>
  <c r="O15" i="1"/>
  <c r="O13" i="1"/>
  <c r="O17" i="1"/>
  <c r="O18" i="1"/>
  <c r="O3" i="1"/>
  <c r="O20" i="1"/>
  <c r="O14" i="1"/>
  <c r="O4" i="1"/>
  <c r="O22" i="1"/>
  <c r="O10" i="1"/>
  <c r="O16" i="1"/>
  <c r="O19" i="1"/>
  <c r="O7" i="1"/>
  <c r="O9" i="1"/>
  <c r="O2" i="1"/>
  <c r="O21" i="1"/>
  <c r="B7" i="1"/>
  <c r="B15" i="1"/>
  <c r="B2" i="1"/>
  <c r="A20" i="1"/>
  <c r="B5" i="1"/>
  <c r="A15" i="1"/>
  <c r="A8" i="1"/>
  <c r="A16" i="1"/>
  <c r="B8" i="1"/>
  <c r="A17" i="1"/>
  <c r="B22" i="1"/>
  <c r="A7" i="1"/>
  <c r="B16" i="1"/>
  <c r="B9" i="1"/>
  <c r="B10" i="1"/>
  <c r="A11" i="1"/>
  <c r="B3" i="1"/>
  <c r="A4" i="1"/>
  <c r="B4" i="1"/>
  <c r="B21" i="1"/>
  <c r="A9" i="1"/>
  <c r="B17" i="1"/>
  <c r="B18" i="1"/>
  <c r="A13" i="1"/>
  <c r="A19" i="1"/>
  <c r="B20" i="1"/>
  <c r="A21" i="1"/>
  <c r="B13" i="1"/>
  <c r="A2" i="1"/>
  <c r="A10" i="1"/>
  <c r="A18" i="1"/>
  <c r="A3" i="1"/>
  <c r="B11" i="1"/>
  <c r="A5" i="1"/>
  <c r="A22" i="1"/>
  <c r="B19" i="1"/>
  <c r="A12" i="1"/>
  <c r="B12" i="1"/>
  <c r="B6" i="1"/>
  <c r="A14" i="1"/>
  <c r="B14" i="1"/>
  <c r="A6" i="1"/>
  <c r="R13" i="1"/>
  <c r="R11" i="1"/>
  <c r="R14" i="1"/>
  <c r="R17" i="1"/>
  <c r="R21" i="1"/>
  <c r="R15" i="1"/>
  <c r="R8" i="1"/>
  <c r="R16" i="1"/>
  <c r="R22" i="1"/>
  <c r="R2" i="1"/>
  <c r="R18" i="1"/>
  <c r="R3" i="1"/>
  <c r="R19" i="1"/>
  <c r="R5" i="1"/>
  <c r="R6" i="1"/>
  <c r="R7" i="1"/>
  <c r="R10" i="1"/>
  <c r="R4" i="1"/>
  <c r="R20" i="1"/>
  <c r="R9" i="1"/>
  <c r="R12" i="1"/>
  <c r="C3" i="1"/>
  <c r="C19" i="1"/>
  <c r="C7" i="1"/>
  <c r="C17" i="1"/>
  <c r="C4" i="1"/>
  <c r="C20" i="1"/>
  <c r="C21" i="1"/>
  <c r="C6" i="1"/>
  <c r="C22" i="1"/>
  <c r="C10" i="1"/>
  <c r="C13" i="1"/>
  <c r="C5" i="1"/>
  <c r="C9" i="1"/>
  <c r="C11" i="1"/>
  <c r="C12" i="1"/>
  <c r="C18" i="1"/>
  <c r="C8" i="1"/>
  <c r="C15" i="1"/>
  <c r="C14" i="1"/>
  <c r="C16" i="1"/>
  <c r="C2" i="1"/>
  <c r="T9" i="1"/>
  <c r="T3" i="1"/>
  <c r="T10" i="1"/>
  <c r="T18" i="1"/>
  <c r="T11" i="1"/>
  <c r="T5" i="1"/>
  <c r="T6" i="1"/>
  <c r="T12" i="1"/>
  <c r="T17" i="1"/>
  <c r="T13" i="1"/>
  <c r="T2" i="1"/>
  <c r="T19" i="1"/>
  <c r="T4" i="1"/>
  <c r="T8" i="1"/>
  <c r="T14" i="1"/>
  <c r="T15" i="1"/>
  <c r="T22" i="1"/>
  <c r="T16" i="1"/>
  <c r="T21" i="1"/>
  <c r="T20" i="1"/>
  <c r="T7" i="1"/>
  <c r="E15" i="1"/>
  <c r="E22" i="1"/>
  <c r="E7" i="1"/>
  <c r="E16" i="1"/>
  <c r="E18" i="1"/>
  <c r="E10" i="1"/>
  <c r="E17" i="1"/>
  <c r="E3" i="1"/>
  <c r="E21" i="1"/>
  <c r="E13" i="1"/>
  <c r="E2" i="1"/>
  <c r="E19" i="1"/>
  <c r="E5" i="1"/>
  <c r="E11" i="1"/>
  <c r="E14" i="1"/>
  <c r="E6" i="1"/>
  <c r="E4" i="1"/>
  <c r="E20" i="1"/>
  <c r="E12" i="1"/>
  <c r="E9" i="1"/>
  <c r="E8" i="1"/>
  <c r="M15" i="1"/>
  <c r="M7" i="1"/>
  <c r="M16" i="1"/>
  <c r="M3" i="1"/>
  <c r="M19" i="1"/>
  <c r="M22" i="1"/>
  <c r="M17" i="1"/>
  <c r="M21" i="1"/>
  <c r="M12" i="1"/>
  <c r="M2" i="1"/>
  <c r="M18" i="1"/>
  <c r="M5" i="1"/>
  <c r="M9" i="1"/>
  <c r="M4" i="1"/>
  <c r="M20" i="1"/>
  <c r="M6" i="1"/>
  <c r="M8" i="1"/>
  <c r="M13" i="1"/>
  <c r="M14" i="1"/>
  <c r="M10" i="1"/>
  <c r="M11" i="1"/>
  <c r="U15" i="1"/>
  <c r="U10" i="1"/>
  <c r="U16" i="1"/>
  <c r="U17" i="1"/>
  <c r="U5" i="1"/>
  <c r="U2" i="1"/>
  <c r="U18" i="1"/>
  <c r="U22" i="1"/>
  <c r="U8" i="1"/>
  <c r="U11" i="1"/>
  <c r="U3" i="1"/>
  <c r="U19" i="1"/>
  <c r="U12" i="1"/>
  <c r="U4" i="1"/>
  <c r="U20" i="1"/>
  <c r="U21" i="1"/>
  <c r="U6" i="1"/>
  <c r="U7" i="1"/>
  <c r="U9" i="1"/>
  <c r="U14" i="1"/>
  <c r="U13" i="1"/>
  <c r="N5" i="1"/>
  <c r="N21" i="1"/>
  <c r="N11" i="1"/>
  <c r="N17" i="1"/>
  <c r="N6" i="1"/>
  <c r="N22" i="1"/>
  <c r="N9" i="1"/>
  <c r="N13" i="1"/>
  <c r="N20" i="1"/>
  <c r="N7" i="1"/>
  <c r="N16" i="1"/>
  <c r="N3" i="1"/>
  <c r="N8" i="1"/>
  <c r="N18" i="1"/>
  <c r="N2" i="1"/>
  <c r="N10" i="1"/>
  <c r="N15" i="1"/>
  <c r="N12" i="1"/>
  <c r="N14" i="1"/>
  <c r="N19" i="1"/>
  <c r="N4" i="1"/>
  <c r="V5" i="1"/>
  <c r="V21" i="1"/>
  <c r="V14" i="1"/>
  <c r="V18" i="1"/>
  <c r="V6" i="1"/>
  <c r="V22" i="1"/>
  <c r="V13" i="1"/>
  <c r="V4" i="1"/>
  <c r="V7" i="1"/>
  <c r="V12" i="1"/>
  <c r="V15" i="1"/>
  <c r="V20" i="1"/>
  <c r="V8" i="1"/>
  <c r="V11" i="1"/>
  <c r="V2" i="1"/>
  <c r="V9" i="1"/>
  <c r="V17" i="1"/>
  <c r="V10" i="1"/>
  <c r="V16" i="1"/>
  <c r="V3" i="1"/>
  <c r="V19" i="1"/>
  <c r="Q7" i="1"/>
  <c r="Q22" i="1"/>
  <c r="Q8" i="1"/>
  <c r="Q18" i="1"/>
  <c r="Q9" i="1"/>
  <c r="Q11" i="1"/>
  <c r="Q3" i="1"/>
  <c r="Q10" i="1"/>
  <c r="Q21" i="1"/>
  <c r="Q19" i="1"/>
  <c r="Q12" i="1"/>
  <c r="Q13" i="1"/>
  <c r="Q14" i="1"/>
  <c r="Q15" i="1"/>
  <c r="Q16" i="1"/>
  <c r="Q17" i="1"/>
  <c r="Q2" i="1"/>
  <c r="Q6" i="1"/>
  <c r="Q5" i="1"/>
  <c r="Q4" i="1"/>
  <c r="Q20" i="1"/>
  <c r="D9" i="1"/>
  <c r="D3" i="1"/>
  <c r="D22" i="1"/>
  <c r="D10" i="1"/>
  <c r="D11" i="1"/>
  <c r="D18" i="1"/>
  <c r="D21" i="1"/>
  <c r="D6" i="1"/>
  <c r="D13" i="1"/>
  <c r="D20" i="1"/>
  <c r="D12" i="1"/>
  <c r="D15" i="1"/>
  <c r="D16" i="1"/>
  <c r="D14" i="1"/>
  <c r="D17" i="1"/>
  <c r="D2" i="1"/>
  <c r="D19" i="1"/>
  <c r="D8" i="1"/>
  <c r="D7" i="1"/>
  <c r="D4" i="1"/>
  <c r="D5" i="1"/>
  <c r="J13" i="1"/>
  <c r="J19" i="1"/>
  <c r="J10" i="1"/>
  <c r="J14" i="1"/>
  <c r="J21" i="1"/>
  <c r="J8" i="1"/>
  <c r="J15" i="1"/>
  <c r="J17" i="1"/>
  <c r="J4" i="1"/>
  <c r="J5" i="1"/>
  <c r="J22" i="1"/>
  <c r="J16" i="1"/>
  <c r="J3" i="1"/>
  <c r="J20" i="1"/>
  <c r="J7" i="1"/>
  <c r="J9" i="1"/>
  <c r="J2" i="1"/>
  <c r="J18" i="1"/>
  <c r="J6" i="1"/>
  <c r="J11" i="1"/>
  <c r="J12" i="1"/>
  <c r="G11" i="1"/>
  <c r="G20" i="1"/>
  <c r="G12" i="1"/>
  <c r="G5" i="1"/>
  <c r="G13" i="1"/>
  <c r="G18" i="1"/>
  <c r="G19" i="1"/>
  <c r="G10" i="1"/>
  <c r="G14" i="1"/>
  <c r="G15" i="1"/>
  <c r="G17" i="1"/>
  <c r="G3" i="1"/>
  <c r="G4" i="1"/>
  <c r="G6" i="1"/>
  <c r="G21" i="1"/>
  <c r="G22" i="1"/>
  <c r="G8" i="1"/>
  <c r="G16" i="1"/>
  <c r="G2" i="1"/>
  <c r="G7" i="1"/>
  <c r="G9" i="1"/>
  <c r="H17" i="1"/>
  <c r="H5" i="1"/>
  <c r="H13" i="1"/>
  <c r="H2" i="1"/>
  <c r="H18" i="1"/>
  <c r="H8" i="1"/>
  <c r="H15" i="1"/>
  <c r="H3" i="1"/>
  <c r="H19" i="1"/>
  <c r="H21" i="1"/>
  <c r="H7" i="1"/>
  <c r="H4" i="1"/>
  <c r="H20" i="1"/>
  <c r="H9" i="1"/>
  <c r="H16" i="1"/>
  <c r="H6" i="1"/>
  <c r="H22" i="1"/>
  <c r="H10" i="1"/>
  <c r="H11" i="1"/>
  <c r="H12" i="1"/>
  <c r="H14" i="1"/>
  <c r="P17" i="1"/>
  <c r="P21" i="1"/>
  <c r="P10" i="1"/>
  <c r="P2" i="1"/>
  <c r="P18" i="1"/>
  <c r="P3" i="1"/>
  <c r="P19" i="1"/>
  <c r="P11" i="1"/>
  <c r="P16" i="1"/>
  <c r="P4" i="1"/>
  <c r="P20" i="1"/>
  <c r="P5" i="1"/>
  <c r="P9" i="1"/>
  <c r="P13" i="1"/>
  <c r="P15" i="1"/>
  <c r="P6" i="1"/>
  <c r="P22" i="1"/>
  <c r="P7" i="1"/>
  <c r="P12" i="1"/>
  <c r="P8" i="1"/>
  <c r="P14" i="1"/>
  <c r="X17" i="1"/>
  <c r="X9" i="1"/>
  <c r="X2" i="1"/>
  <c r="X18" i="1"/>
  <c r="X3" i="1"/>
  <c r="X19" i="1"/>
  <c r="X10" i="1"/>
  <c r="X4" i="1"/>
  <c r="X20" i="1"/>
  <c r="X11" i="1"/>
  <c r="X5" i="1"/>
  <c r="X21" i="1"/>
  <c r="X6" i="1"/>
  <c r="X22" i="1"/>
  <c r="X7" i="1"/>
  <c r="X12" i="1"/>
  <c r="X16" i="1"/>
  <c r="X8" i="1"/>
  <c r="X13" i="1"/>
  <c r="X14" i="1"/>
  <c r="X15" i="1"/>
</calcChain>
</file>

<file path=xl/sharedStrings.xml><?xml version="1.0" encoding="utf-8"?>
<sst xmlns="http://schemas.openxmlformats.org/spreadsheetml/2006/main" count="174" uniqueCount="49">
  <si>
    <t>Timestamp</t>
  </si>
  <si>
    <t>\\usmlmes\USMLPI_MDB\USMLPIMBD\Smelters\Union Smelter\Hot Metals\Furnace 2\PhaseC\Electrode6|P.PasteHeater.T.AirIn</t>
  </si>
  <si>
    <t>\\usmlmes\USMLPI_MDB\USMLPIMBD\Smelters\Union Smelter\Hot Metals\Furnace 2\PhaseC\Electrode6|P.PasteHeater.T.AirOut</t>
  </si>
  <si>
    <t>\\usmlmes\USMLPI_MDB\USMLPIMBD\Smelters\Union Smelter\Hot Metals\Furnace 2\PhaseC\Electrode6|P.slip.encoder</t>
  </si>
  <si>
    <t>\\usmlmes\USMLPI_MDB\USMLPIMBD\Smelters\Union Smelter\Hot Metals\Furnace 2\PhaseC\Electrode6|Position</t>
  </si>
  <si>
    <t>\\usmlmes\USMLPI_MDB\USMLPIMBD\Smelters\Union Smelter\Hot Metals\Furnace 2\PhaseC\Electrode6|Slip.lowerclamp.P</t>
  </si>
  <si>
    <t>\\usmlmes\USMLPI_MDB\USMLPIMBD\Smelters\Union Smelter\Hot Metals\Furnace 2\PhaseC\Electrode6|Slip.upperclamp.P</t>
  </si>
  <si>
    <t>\\usmlmes\USMLPI_MDB\USMLPIMBD\Smelters\Union Smelter\Hot Metals\Furnace 2\PhaseC\Electrode6|Stroke.HH</t>
  </si>
  <si>
    <t>\\usmlmes\USMLPI_MDB\USMLPIMBD\Smelters\Union Smelter\Hot Metals\Furnace 2\PhaseC\Electrode6|Stroke.LL</t>
  </si>
  <si>
    <t>\\usmlmes\USMLPI_MDB\USMLPIMBD\Smelters\Union Smelter\Hot Metals\Furnace 2\PhaseC\Electrode6|Voltage.toBath</t>
  </si>
  <si>
    <t>\\usmlmes\USMLPI_MDB\USMLPIMBD\Smelters\Union Smelter\Hot Metals\Furnace 2\PhaseC\Electrode6\Paste|ACE.ExpectedPasteLevelBefore</t>
  </si>
  <si>
    <t>\\usmlmes\USMLPI_MDB\USMLPIMBD\Smelters\Union Smelter\Hot Metals\Furnace 2\PhaseC\Electrode6\Paste|ACE.LiquidPasteLevel</t>
  </si>
  <si>
    <t>\\usmlmes\USMLPI_MDB\USMLPIMBD\Smelters\Union Smelter\Hot Metals\Furnace 2\PhaseC\Electrode6\Paste|ACE.PasteBlocksToAdd</t>
  </si>
  <si>
    <t>\\usmlmes\USMLPI_MDB\USMLPIMBD\Smelters\Union Smelter\Hot Metals\Furnace 2\PhaseC\Electrode6\Paste|ACE.PredictedPasteLevelAfter</t>
  </si>
  <si>
    <t>\\usmlmes\USMLPI_MDB\USMLPIMBD\Smelters\Union Smelter\Hot Metals\Furnace 2\PhaseC\Electrode6\Paste|ACE.SolidPasteLevelAboveLiquid</t>
  </si>
  <si>
    <t>\\usmlmes\USMLPI_MDB\USMLPIMBD\Smelters\Union Smelter\Hot Metals\Furnace 2\PhaseC\Electrode6\Paste|M.CasingToLiquidDistance1</t>
  </si>
  <si>
    <t>\\usmlmes\USMLPI_MDB\USMLPIMBD\Smelters\Union Smelter\Hot Metals\Furnace 2\PhaseC\Electrode6\Paste|M.CasingToLiquidDistance2</t>
  </si>
  <si>
    <t>\\usmlmes\USMLPI_MDB\USMLPIMBD\Smelters\Union Smelter\Hot Metals\Furnace 2\PhaseC\Electrode6\Paste|M.CasingToLiquidDistance3</t>
  </si>
  <si>
    <t>\\usmlmes\USMLPI_MDB\USMLPIMBD\Smelters\Union Smelter\Hot Metals\Furnace 2\PhaseC\Electrode6\Paste|M.CasingToLiquidDistance4</t>
  </si>
  <si>
    <t>\\usmlmes\USMLPI_MDB\USMLPIMBD\Smelters\Union Smelter\Hot Metals\Furnace 2\PhaseC\Electrode6\Paste|M.CasingToSolidPaste</t>
  </si>
  <si>
    <t>\\usmlmes\USMLPI_MDB\USMLPIMBD\Smelters\Union Smelter\Hot Metals\Furnace 2\PhaseC\Electrode6\Paste|M.CasingToUpperRing</t>
  </si>
  <si>
    <t>\\usmlmes\USMLPI_MDB\USMLPIMBD\Smelters\Union Smelter\Hot Metals\Furnace 2\PhaseC\Electrode6\Paste|M.PasteHeater.Temp</t>
  </si>
  <si>
    <t>\\usmlmes\USMLPI_MDB\USMLPIMBD\Smelters\Union Smelter\Hot Metals\Furnace 2\PhaseC\Electrode6\Paste|M.Slipped</t>
  </si>
  <si>
    <t>\\usmlmes\USMLPI_MDB\USMLPIMBD\Smelters\Union Smelter\Hot Metals\Furnace 2\PhaseC\Electrode6\Paste|M.SolidPaste.Added</t>
  </si>
  <si>
    <t>Configure</t>
  </si>
  <si>
    <t>Pt Created</t>
  </si>
  <si>
    <t>P.PasteHeater.T.AirIn</t>
  </si>
  <si>
    <t>P.PasteHeater.T.AirOut</t>
  </si>
  <si>
    <t>P.slip.encoder</t>
  </si>
  <si>
    <t>Position</t>
  </si>
  <si>
    <t>Slip.lowerclamp.P</t>
  </si>
  <si>
    <t>Slip.upperclamp.P</t>
  </si>
  <si>
    <t>Stroke.HH</t>
  </si>
  <si>
    <t>Stroke.LL</t>
  </si>
  <si>
    <t>Voltage.toBath</t>
  </si>
  <si>
    <t>ACE.ExpectedPasteLevelBefore</t>
  </si>
  <si>
    <t>ACE.LiquidPasteLevel</t>
  </si>
  <si>
    <t>ACE.PasteBlocksToAdd</t>
  </si>
  <si>
    <t>ACE.PredictedPasteLevelAfter</t>
  </si>
  <si>
    <t>ACE.SolidPasteLevelAboveLiquid</t>
  </si>
  <si>
    <t>M.CasingToLiquidDistance1</t>
  </si>
  <si>
    <t>M.CasingToLiquidDistance2</t>
  </si>
  <si>
    <t>M.CasingToLiquidDistance3</t>
  </si>
  <si>
    <t>M.CasingToLiquidDistance4</t>
  </si>
  <si>
    <t>M.CasingToSolidPaste</t>
  </si>
  <si>
    <t>M.CasingToUpperRing</t>
  </si>
  <si>
    <t>M.PasteHeater.Temp</t>
  </si>
  <si>
    <t>M.Slipped</t>
  </si>
  <si>
    <t>M.SolidPaste.Added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</si>
</sst>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opLeftCell="B1" workbookViewId="0">
      <selection activeCell="A2" sqref="A1:X22"/>
    </sheetView>
  </sheetViews>
  <sheetFormatPr defaultRowHeight="14.4" x14ac:dyDescent="0.3"/>
  <cols>
    <col min="1" max="1" width="18.88671875" customWidth="1"/>
  </cols>
  <sheetData>
    <row r="1" spans="1:2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e">
        <f t="array" aca="1" ref="A2:B22" ca="1">_xll.PISampDat(Sheet1!$B$1,"t-20d","t","86400s",1,"")</f>
        <v>#NAME?</v>
      </c>
      <c r="B2" t="e">
        <f ca="1"/>
        <v>#NAME?</v>
      </c>
      <c r="C2" t="e">
        <f t="array" aca="1" ref="C2:C22" ca="1">_xll.PISampDat(Sheet1!$C$1,"t-20d","t","86400s",0,"")</f>
        <v>#NAME?</v>
      </c>
      <c r="D2" t="e">
        <f t="array" aca="1" ref="D2:D22" ca="1">_xll.PISampDat(Sheet1!$D$1,"t-20d","t","86400s",0,"")</f>
        <v>#NAME?</v>
      </c>
      <c r="E2" t="e">
        <f t="array" aca="1" ref="E2:E22" ca="1">_xll.PISampDat(Sheet1!$E$1,"t-20d","t","86400s",0,"")</f>
        <v>#NAME?</v>
      </c>
      <c r="F2" t="e">
        <f t="array" aca="1" ref="F2:F22" ca="1">_xll.PISampDat(Sheet1!$F$1,"t-20d","t","86400s",0,"")</f>
        <v>#NAME?</v>
      </c>
      <c r="G2" t="e">
        <f t="array" aca="1" ref="G2:G22" ca="1">_xll.PISampDat(Sheet1!$G$1,"t-20d","t","86400s",0,"")</f>
        <v>#NAME?</v>
      </c>
      <c r="H2" t="e">
        <f t="array" aca="1" ref="H2:H22" ca="1">_xll.PISampDat(Sheet1!$H$1,"t-20d","t","86400s",0,"")</f>
        <v>#NAME?</v>
      </c>
      <c r="I2" t="e">
        <f t="array" aca="1" ref="I2:I22" ca="1">_xll.PISampDat(Sheet1!$I$1,"t-20d","t","86400s",0,"")</f>
        <v>#NAME?</v>
      </c>
      <c r="J2" t="e">
        <f t="array" aca="1" ref="J2:J22" ca="1">_xll.PISampDat(Sheet1!$J$1,"t-20d","t","86400s",0,"")</f>
        <v>#NAME?</v>
      </c>
      <c r="K2" t="e">
        <f t="array" aca="1" ref="K2:K22" ca="1">_xll.PISampDat(Sheet1!$K$1,"t-20d","t","86400s",0,"")</f>
        <v>#NAME?</v>
      </c>
      <c r="L2" t="e">
        <f t="array" aca="1" ref="L2:L22" ca="1">_xll.PISampDat(Sheet1!$L$1,"t-20d","t","86400s",0,"")</f>
        <v>#NAME?</v>
      </c>
      <c r="M2" t="e">
        <f t="array" aca="1" ref="M2:M22" ca="1">_xll.PISampDat(Sheet1!$M$1,"t-20d","t","86400s",0,"")</f>
        <v>#NAME?</v>
      </c>
      <c r="N2" t="e">
        <f t="array" aca="1" ref="N2:N22" ca="1">_xll.PISampDat(Sheet1!$N$1,"t-20d","t","86400s",0,"")</f>
        <v>#NAME?</v>
      </c>
      <c r="O2" t="e">
        <f t="array" aca="1" ref="O2:O22" ca="1">_xll.PISampDat(Sheet1!$O$1,"t-20d","t","86400s",0,"")</f>
        <v>#NAME?</v>
      </c>
      <c r="P2" t="e">
        <f t="array" aca="1" ref="P2:P22" ca="1">_xll.PISampDat(Sheet1!$P$1,"t-20d","t","86400s",0,"")</f>
        <v>#NAME?</v>
      </c>
      <c r="Q2" t="e">
        <f t="array" aca="1" ref="Q2:Q22" ca="1">_xll.PISampDat(Sheet1!$Q$1,"t-20d","t","86400s",0,"")</f>
        <v>#NAME?</v>
      </c>
      <c r="R2" t="e">
        <f t="array" aca="1" ref="R2:R22" ca="1">_xll.PISampDat(Sheet1!$R$1,"t-20d","t","86400s",0,"")</f>
        <v>#NAME?</v>
      </c>
      <c r="S2" t="e">
        <f t="array" aca="1" ref="S2:S22" ca="1">_xll.PISampDat(Sheet1!$S$1,"t-20d","t","86400s",0,"")</f>
        <v>#NAME?</v>
      </c>
      <c r="T2" t="e">
        <f t="array" aca="1" ref="T2:T22" ca="1">_xll.PISampDat(Sheet1!$T$1,"t-20d","t","86400s",0,"")</f>
        <v>#NAME?</v>
      </c>
      <c r="U2" t="e">
        <f t="array" aca="1" ref="U2:U22" ca="1">_xll.PISampDat(Sheet1!$U$1,"t-20d","t","86400s",0,"")</f>
        <v>#NAME?</v>
      </c>
      <c r="V2" t="e">
        <f t="array" aca="1" ref="V2:V22" ca="1">_xll.PISampDat(Sheet1!$V$1,"t-20d","t","86400s",0,"")</f>
        <v>#NAME?</v>
      </c>
      <c r="W2" t="e">
        <f t="array" aca="1" ref="W2:W22" ca="1">_xll.PISampDat(Sheet1!$W$1,"t-20d","t","86400s",0,"")</f>
        <v>#NAME?</v>
      </c>
      <c r="X2" t="e">
        <f t="array" aca="1" ref="X2:X22" ca="1">_xll.PISampDat(Sheet1!$X$1,"t-20d","t","86400s",0,"")</f>
        <v>#NAME?</v>
      </c>
    </row>
    <row r="3" spans="1:24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  <c r="O3" t="e">
        <f ca="1"/>
        <v>#NAME?</v>
      </c>
      <c r="P3" t="e">
        <f ca="1"/>
        <v>#NAME?</v>
      </c>
      <c r="Q3" t="e">
        <f ca="1"/>
        <v>#NAME?</v>
      </c>
      <c r="R3" t="e">
        <f ca="1"/>
        <v>#NAME?</v>
      </c>
      <c r="S3" t="e">
        <f ca="1"/>
        <v>#NAME?</v>
      </c>
      <c r="T3" t="e">
        <f ca="1"/>
        <v>#NAME?</v>
      </c>
      <c r="U3" t="e">
        <f ca="1"/>
        <v>#NAME?</v>
      </c>
      <c r="V3" t="e">
        <f ca="1"/>
        <v>#NAME?</v>
      </c>
      <c r="W3" t="e">
        <f ca="1"/>
        <v>#NAME?</v>
      </c>
      <c r="X3" t="e">
        <f ca="1"/>
        <v>#NAME?</v>
      </c>
    </row>
    <row r="4" spans="1:24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  <c r="O4" t="e">
        <f ca="1"/>
        <v>#NAME?</v>
      </c>
      <c r="P4" t="e">
        <f ca="1"/>
        <v>#NAME?</v>
      </c>
      <c r="Q4" t="e">
        <f ca="1"/>
        <v>#NAME?</v>
      </c>
      <c r="R4" t="e">
        <f ca="1"/>
        <v>#NAME?</v>
      </c>
      <c r="S4" t="e">
        <f ca="1"/>
        <v>#NAME?</v>
      </c>
      <c r="T4" t="e">
        <f ca="1"/>
        <v>#NAME?</v>
      </c>
      <c r="U4" t="e">
        <f ca="1"/>
        <v>#NAME?</v>
      </c>
      <c r="V4" t="e">
        <f ca="1"/>
        <v>#NAME?</v>
      </c>
      <c r="W4" t="e">
        <f ca="1"/>
        <v>#NAME?</v>
      </c>
      <c r="X4" t="e">
        <f ca="1"/>
        <v>#NAME?</v>
      </c>
    </row>
    <row r="5" spans="1:24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  <c r="O5" t="e">
        <f ca="1"/>
        <v>#NAME?</v>
      </c>
      <c r="P5" t="e">
        <f ca="1"/>
        <v>#NAME?</v>
      </c>
      <c r="Q5" t="e">
        <f ca="1"/>
        <v>#NAME?</v>
      </c>
      <c r="R5" t="e">
        <f ca="1"/>
        <v>#NAME?</v>
      </c>
      <c r="S5" t="e">
        <f ca="1"/>
        <v>#NAME?</v>
      </c>
      <c r="T5" t="e">
        <f ca="1"/>
        <v>#NAME?</v>
      </c>
      <c r="U5" t="e">
        <f ca="1"/>
        <v>#NAME?</v>
      </c>
      <c r="V5" t="e">
        <f ca="1"/>
        <v>#NAME?</v>
      </c>
      <c r="W5" t="e">
        <f ca="1"/>
        <v>#NAME?</v>
      </c>
      <c r="X5" t="e">
        <f ca="1"/>
        <v>#NAME?</v>
      </c>
    </row>
    <row r="6" spans="1:24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  <c r="O6" t="e">
        <f ca="1"/>
        <v>#NAME?</v>
      </c>
      <c r="P6" t="e">
        <f ca="1"/>
        <v>#NAME?</v>
      </c>
      <c r="Q6" t="e">
        <f ca="1"/>
        <v>#NAME?</v>
      </c>
      <c r="R6" t="e">
        <f ca="1"/>
        <v>#NAME?</v>
      </c>
      <c r="S6" t="e">
        <f ca="1"/>
        <v>#NAME?</v>
      </c>
      <c r="T6" t="e">
        <f ca="1"/>
        <v>#NAME?</v>
      </c>
      <c r="U6" t="e">
        <f ca="1"/>
        <v>#NAME?</v>
      </c>
      <c r="V6" t="e">
        <f ca="1"/>
        <v>#NAME?</v>
      </c>
      <c r="W6" t="e">
        <f ca="1"/>
        <v>#NAME?</v>
      </c>
      <c r="X6" t="e">
        <f ca="1"/>
        <v>#NAME?</v>
      </c>
    </row>
    <row r="7" spans="1:24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  <c r="O7" t="e">
        <f ca="1"/>
        <v>#NAME?</v>
      </c>
      <c r="P7" t="e">
        <f ca="1"/>
        <v>#NAME?</v>
      </c>
      <c r="Q7" t="e">
        <f ca="1"/>
        <v>#NAME?</v>
      </c>
      <c r="R7" t="e">
        <f ca="1"/>
        <v>#NAME?</v>
      </c>
      <c r="S7" t="e">
        <f ca="1"/>
        <v>#NAME?</v>
      </c>
      <c r="T7" t="e">
        <f ca="1"/>
        <v>#NAME?</v>
      </c>
      <c r="U7" t="e">
        <f ca="1"/>
        <v>#NAME?</v>
      </c>
      <c r="V7" t="e">
        <f ca="1"/>
        <v>#NAME?</v>
      </c>
      <c r="W7" t="e">
        <f ca="1"/>
        <v>#NAME?</v>
      </c>
      <c r="X7" t="e">
        <f ca="1"/>
        <v>#NAME?</v>
      </c>
    </row>
    <row r="8" spans="1:24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  <c r="O8" t="e">
        <f ca="1"/>
        <v>#NAME?</v>
      </c>
      <c r="P8" t="e">
        <f ca="1"/>
        <v>#NAME?</v>
      </c>
      <c r="Q8" t="e">
        <f ca="1"/>
        <v>#NAME?</v>
      </c>
      <c r="R8" t="e">
        <f ca="1"/>
        <v>#NAME?</v>
      </c>
      <c r="S8" t="e">
        <f ca="1"/>
        <v>#NAME?</v>
      </c>
      <c r="T8" t="e">
        <f ca="1"/>
        <v>#NAME?</v>
      </c>
      <c r="U8" t="e">
        <f ca="1"/>
        <v>#NAME?</v>
      </c>
      <c r="V8" t="e">
        <f ca="1"/>
        <v>#NAME?</v>
      </c>
      <c r="W8" t="e">
        <f ca="1"/>
        <v>#NAME?</v>
      </c>
      <c r="X8" t="e">
        <f ca="1"/>
        <v>#NAME?</v>
      </c>
    </row>
    <row r="9" spans="1:24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  <c r="O9" t="e">
        <f ca="1"/>
        <v>#NAME?</v>
      </c>
      <c r="P9" t="e">
        <f ca="1"/>
        <v>#NAME?</v>
      </c>
      <c r="Q9" t="e">
        <f ca="1"/>
        <v>#NAME?</v>
      </c>
      <c r="R9" t="e">
        <f ca="1"/>
        <v>#NAME?</v>
      </c>
      <c r="S9" t="e">
        <f ca="1"/>
        <v>#NAME?</v>
      </c>
      <c r="T9" t="e">
        <f ca="1"/>
        <v>#NAME?</v>
      </c>
      <c r="U9" t="e">
        <f ca="1"/>
        <v>#NAME?</v>
      </c>
      <c r="V9" t="e">
        <f ca="1"/>
        <v>#NAME?</v>
      </c>
      <c r="W9" t="e">
        <f ca="1"/>
        <v>#NAME?</v>
      </c>
      <c r="X9" t="e">
        <f ca="1"/>
        <v>#NAME?</v>
      </c>
    </row>
    <row r="10" spans="1:24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  <c r="O10" t="e">
        <f ca="1"/>
        <v>#NAME?</v>
      </c>
      <c r="P10" t="e">
        <f ca="1"/>
        <v>#NAME?</v>
      </c>
      <c r="Q10" t="e">
        <f ca="1"/>
        <v>#NAME?</v>
      </c>
      <c r="R10" t="e">
        <f ca="1"/>
        <v>#NAME?</v>
      </c>
      <c r="S10" t="e">
        <f ca="1"/>
        <v>#NAME?</v>
      </c>
      <c r="T10" t="e">
        <f ca="1"/>
        <v>#NAME?</v>
      </c>
      <c r="U10" t="e">
        <f ca="1"/>
        <v>#NAME?</v>
      </c>
      <c r="V10" t="e">
        <f ca="1"/>
        <v>#NAME?</v>
      </c>
      <c r="W10" t="e">
        <f ca="1"/>
        <v>#NAME?</v>
      </c>
      <c r="X10" t="e">
        <f ca="1"/>
        <v>#NAME?</v>
      </c>
    </row>
    <row r="11" spans="1:24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  <c r="O11" t="e">
        <f ca="1"/>
        <v>#NAME?</v>
      </c>
      <c r="P11" t="e">
        <f ca="1"/>
        <v>#NAME?</v>
      </c>
      <c r="Q11" t="e">
        <f ca="1"/>
        <v>#NAME?</v>
      </c>
      <c r="R11" t="e">
        <f ca="1"/>
        <v>#NAME?</v>
      </c>
      <c r="S11" t="e">
        <f ca="1"/>
        <v>#NAME?</v>
      </c>
      <c r="T11" t="e">
        <f ca="1"/>
        <v>#NAME?</v>
      </c>
      <c r="U11" t="e">
        <f ca="1"/>
        <v>#NAME?</v>
      </c>
      <c r="V11" t="e">
        <f ca="1"/>
        <v>#NAME?</v>
      </c>
      <c r="W11" t="e">
        <f ca="1"/>
        <v>#NAME?</v>
      </c>
      <c r="X11" t="e">
        <f ca="1"/>
        <v>#NAME?</v>
      </c>
    </row>
    <row r="12" spans="1:24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  <c r="O12" t="e">
        <f ca="1"/>
        <v>#NAME?</v>
      </c>
      <c r="P12" t="e">
        <f ca="1"/>
        <v>#NAME?</v>
      </c>
      <c r="Q12" t="e">
        <f ca="1"/>
        <v>#NAME?</v>
      </c>
      <c r="R12" t="e">
        <f ca="1"/>
        <v>#NAME?</v>
      </c>
      <c r="S12" t="e">
        <f ca="1"/>
        <v>#NAME?</v>
      </c>
      <c r="T12" t="e">
        <f ca="1"/>
        <v>#NAME?</v>
      </c>
      <c r="U12" t="e">
        <f ca="1"/>
        <v>#NAME?</v>
      </c>
      <c r="V12" t="e">
        <f ca="1"/>
        <v>#NAME?</v>
      </c>
      <c r="W12" t="e">
        <f ca="1"/>
        <v>#NAME?</v>
      </c>
      <c r="X12" t="e">
        <f ca="1"/>
        <v>#NAME?</v>
      </c>
    </row>
    <row r="13" spans="1:24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  <c r="O13" t="e">
        <f ca="1"/>
        <v>#NAME?</v>
      </c>
      <c r="P13" t="e">
        <f ca="1"/>
        <v>#NAME?</v>
      </c>
      <c r="Q13" t="e">
        <f ca="1"/>
        <v>#NAME?</v>
      </c>
      <c r="R13" t="e">
        <f ca="1"/>
        <v>#NAME?</v>
      </c>
      <c r="S13" t="e">
        <f ca="1"/>
        <v>#NAME?</v>
      </c>
      <c r="T13" t="e">
        <f ca="1"/>
        <v>#NAME?</v>
      </c>
      <c r="U13" t="e">
        <f ca="1"/>
        <v>#NAME?</v>
      </c>
      <c r="V13" t="e">
        <f ca="1"/>
        <v>#NAME?</v>
      </c>
      <c r="W13" t="e">
        <f ca="1"/>
        <v>#NAME?</v>
      </c>
      <c r="X13" t="e">
        <f ca="1"/>
        <v>#NAME?</v>
      </c>
    </row>
    <row r="14" spans="1:24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  <c r="O14" t="e">
        <f ca="1"/>
        <v>#NAME?</v>
      </c>
      <c r="P14" t="e">
        <f ca="1"/>
        <v>#NAME?</v>
      </c>
      <c r="Q14" t="e">
        <f ca="1"/>
        <v>#NAME?</v>
      </c>
      <c r="R14" t="e">
        <f ca="1"/>
        <v>#NAME?</v>
      </c>
      <c r="S14" t="e">
        <f ca="1"/>
        <v>#NAME?</v>
      </c>
      <c r="T14" t="e">
        <f ca="1"/>
        <v>#NAME?</v>
      </c>
      <c r="U14" t="e">
        <f ca="1"/>
        <v>#NAME?</v>
      </c>
      <c r="V14" t="e">
        <f ca="1"/>
        <v>#NAME?</v>
      </c>
      <c r="W14" t="e">
        <f ca="1"/>
        <v>#NAME?</v>
      </c>
      <c r="X14" t="e">
        <f ca="1"/>
        <v>#NAME?</v>
      </c>
    </row>
    <row r="15" spans="1:24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  <c r="O15" t="e">
        <f ca="1"/>
        <v>#NAME?</v>
      </c>
      <c r="P15" t="e">
        <f ca="1"/>
        <v>#NAME?</v>
      </c>
      <c r="Q15" t="e">
        <f ca="1"/>
        <v>#NAME?</v>
      </c>
      <c r="R15" t="e">
        <f ca="1"/>
        <v>#NAME?</v>
      </c>
      <c r="S15" t="e">
        <f ca="1"/>
        <v>#NAME?</v>
      </c>
      <c r="T15" t="e">
        <f ca="1"/>
        <v>#NAME?</v>
      </c>
      <c r="U15" t="e">
        <f ca="1"/>
        <v>#NAME?</v>
      </c>
      <c r="V15" t="e">
        <f ca="1"/>
        <v>#NAME?</v>
      </c>
      <c r="W15" t="e">
        <f ca="1"/>
        <v>#NAME?</v>
      </c>
      <c r="X15" t="e">
        <f ca="1"/>
        <v>#NAME?</v>
      </c>
    </row>
    <row r="16" spans="1:24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  <c r="O16" t="e">
        <f ca="1"/>
        <v>#NAME?</v>
      </c>
      <c r="P16" t="e">
        <f ca="1"/>
        <v>#NAME?</v>
      </c>
      <c r="Q16" t="e">
        <f ca="1"/>
        <v>#NAME?</v>
      </c>
      <c r="R16" t="e">
        <f ca="1"/>
        <v>#NAME?</v>
      </c>
      <c r="S16" t="e">
        <f ca="1"/>
        <v>#NAME?</v>
      </c>
      <c r="T16" t="e">
        <f ca="1"/>
        <v>#NAME?</v>
      </c>
      <c r="U16" t="e">
        <f ca="1"/>
        <v>#NAME?</v>
      </c>
      <c r="V16" t="e">
        <f ca="1"/>
        <v>#NAME?</v>
      </c>
      <c r="W16" t="e">
        <f ca="1"/>
        <v>#NAME?</v>
      </c>
      <c r="X16" t="e">
        <f ca="1"/>
        <v>#NAME?</v>
      </c>
    </row>
    <row r="17" spans="1:24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  <c r="O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/>
        <v>#NAME?</v>
      </c>
      <c r="X17" t="e">
        <f ca="1"/>
        <v>#NAME?</v>
      </c>
    </row>
    <row r="18" spans="1:24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  <c r="O18" t="e">
        <f ca="1"/>
        <v>#NAME?</v>
      </c>
      <c r="P18" t="e">
        <f ca="1"/>
        <v>#NAME?</v>
      </c>
      <c r="Q18" t="e">
        <f ca="1"/>
        <v>#NAME?</v>
      </c>
      <c r="R18" t="e">
        <f ca="1"/>
        <v>#NAME?</v>
      </c>
      <c r="S18" t="e">
        <f ca="1"/>
        <v>#NAME?</v>
      </c>
      <c r="T18" t="e">
        <f ca="1"/>
        <v>#NAME?</v>
      </c>
      <c r="U18" t="e">
        <f ca="1"/>
        <v>#NAME?</v>
      </c>
      <c r="V18" t="e">
        <f ca="1"/>
        <v>#NAME?</v>
      </c>
      <c r="W18" t="e">
        <f ca="1"/>
        <v>#NAME?</v>
      </c>
      <c r="X18" t="e">
        <f ca="1"/>
        <v>#NAME?</v>
      </c>
    </row>
    <row r="19" spans="1:24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  <c r="O19" t="e">
        <f ca="1"/>
        <v>#NAME?</v>
      </c>
      <c r="P19" t="e">
        <f ca="1"/>
        <v>#NAME?</v>
      </c>
      <c r="Q19" t="e">
        <f ca="1"/>
        <v>#NAME?</v>
      </c>
      <c r="R19" t="e">
        <f ca="1"/>
        <v>#NAME?</v>
      </c>
      <c r="S19" t="e">
        <f ca="1"/>
        <v>#NAME?</v>
      </c>
      <c r="T19" t="e">
        <f ca="1"/>
        <v>#NAME?</v>
      </c>
      <c r="U19" t="e">
        <f ca="1"/>
        <v>#NAME?</v>
      </c>
      <c r="V19" t="e">
        <f ca="1"/>
        <v>#NAME?</v>
      </c>
      <c r="W19" t="e">
        <f ca="1"/>
        <v>#NAME?</v>
      </c>
      <c r="X19" t="e">
        <f ca="1"/>
        <v>#NAME?</v>
      </c>
    </row>
    <row r="20" spans="1:24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  <c r="O20" t="e">
        <f ca="1"/>
        <v>#NAME?</v>
      </c>
      <c r="P20" t="e">
        <f ca="1"/>
        <v>#NAME?</v>
      </c>
      <c r="Q20" t="e">
        <f ca="1"/>
        <v>#NAME?</v>
      </c>
      <c r="R20" t="e">
        <f ca="1"/>
        <v>#NAME?</v>
      </c>
      <c r="S20" t="e">
        <f ca="1"/>
        <v>#NAME?</v>
      </c>
      <c r="T20" t="e">
        <f ca="1"/>
        <v>#NAME?</v>
      </c>
      <c r="U20" t="e">
        <f ca="1"/>
        <v>#NAME?</v>
      </c>
      <c r="V20" t="e">
        <f ca="1"/>
        <v>#NAME?</v>
      </c>
      <c r="W20" t="e">
        <f ca="1"/>
        <v>#NAME?</v>
      </c>
      <c r="X20" t="e">
        <f ca="1"/>
        <v>#NAME?</v>
      </c>
    </row>
    <row r="21" spans="1:24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  <c r="O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  <c r="T21" t="e">
        <f ca="1"/>
        <v>#NAME?</v>
      </c>
      <c r="U21" t="e">
        <f ca="1"/>
        <v>#NAME?</v>
      </c>
      <c r="V21" t="e">
        <f ca="1"/>
        <v>#NAME?</v>
      </c>
      <c r="W21" t="e">
        <f ca="1"/>
        <v>#NAME?</v>
      </c>
      <c r="X21" t="e">
        <f ca="1"/>
        <v>#NAME?</v>
      </c>
    </row>
    <row r="22" spans="1:24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  <c r="O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  <c r="T22" t="e">
        <f ca="1"/>
        <v>#NAME?</v>
      </c>
      <c r="U22" t="e">
        <f ca="1"/>
        <v>#NAME?</v>
      </c>
      <c r="V22" t="e">
        <f ca="1"/>
        <v>#NAME?</v>
      </c>
      <c r="W22" t="e">
        <f ca="1"/>
        <v>#NAME?</v>
      </c>
      <c r="X22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2"/>
  <sheetViews>
    <sheetView tabSelected="1" workbookViewId="0">
      <selection activeCell="I26" sqref="I26"/>
    </sheetView>
  </sheetViews>
  <sheetFormatPr defaultRowHeight="14.4" x14ac:dyDescent="0.3"/>
  <cols>
    <col min="1" max="1" width="21.6640625" customWidth="1"/>
  </cols>
  <sheetData>
    <row r="1" spans="1:24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</row>
    <row r="2" spans="1:24" x14ac:dyDescent="0.3">
      <c r="A2" s="2">
        <v>45050</v>
      </c>
      <c r="B2">
        <v>113.02334594726563</v>
      </c>
      <c r="C2">
        <v>71.206626892089844</v>
      </c>
      <c r="D2">
        <v>0</v>
      </c>
      <c r="E2">
        <v>800</v>
      </c>
      <c r="F2">
        <v>6.6394166946411133</v>
      </c>
      <c r="G2">
        <v>6.6083974838256836</v>
      </c>
      <c r="H2" t="s">
        <v>24</v>
      </c>
      <c r="I2" t="s">
        <v>24</v>
      </c>
      <c r="J2">
        <v>52.838691711425781</v>
      </c>
      <c r="K2">
        <v>337.20001220703125</v>
      </c>
      <c r="L2">
        <v>318</v>
      </c>
      <c r="M2">
        <v>3</v>
      </c>
      <c r="N2">
        <v>373.20001220703125</v>
      </c>
      <c r="O2">
        <v>160</v>
      </c>
      <c r="P2">
        <v>852</v>
      </c>
      <c r="Q2" t="s">
        <v>25</v>
      </c>
      <c r="R2" t="s">
        <v>25</v>
      </c>
      <c r="S2" t="s">
        <v>25</v>
      </c>
      <c r="T2">
        <v>692</v>
      </c>
      <c r="U2">
        <v>390</v>
      </c>
      <c r="V2" t="s">
        <v>25</v>
      </c>
      <c r="W2">
        <v>0</v>
      </c>
      <c r="X2">
        <v>0</v>
      </c>
    </row>
    <row r="3" spans="1:24" x14ac:dyDescent="0.3">
      <c r="A3" s="2">
        <v>45051</v>
      </c>
      <c r="B3">
        <v>83.794960021972656</v>
      </c>
      <c r="C3">
        <v>56.536186218261719</v>
      </c>
      <c r="D3">
        <v>0</v>
      </c>
      <c r="E3">
        <v>800</v>
      </c>
      <c r="F3">
        <v>6.6004838943481445</v>
      </c>
      <c r="G3">
        <v>6.6151208877563477</v>
      </c>
      <c r="H3" t="s">
        <v>24</v>
      </c>
      <c r="I3" t="s">
        <v>24</v>
      </c>
      <c r="J3">
        <v>53</v>
      </c>
      <c r="K3">
        <v>335.04000854492188</v>
      </c>
      <c r="L3">
        <v>318</v>
      </c>
      <c r="M3">
        <v>3</v>
      </c>
      <c r="N3">
        <v>371.04000854492188</v>
      </c>
      <c r="O3">
        <v>142</v>
      </c>
      <c r="P3">
        <v>852</v>
      </c>
      <c r="Q3" t="s">
        <v>25</v>
      </c>
      <c r="R3" t="s">
        <v>25</v>
      </c>
      <c r="S3" t="s">
        <v>25</v>
      </c>
      <c r="T3">
        <v>710</v>
      </c>
      <c r="U3">
        <v>390</v>
      </c>
      <c r="V3" t="s">
        <v>25</v>
      </c>
      <c r="W3">
        <v>0</v>
      </c>
      <c r="X3">
        <v>0</v>
      </c>
    </row>
    <row r="4" spans="1:24" x14ac:dyDescent="0.3">
      <c r="A4" s="2">
        <v>45052</v>
      </c>
      <c r="B4">
        <v>93.419349670410156</v>
      </c>
      <c r="C4">
        <v>57.376914978027344</v>
      </c>
      <c r="D4">
        <v>0</v>
      </c>
      <c r="E4">
        <v>800</v>
      </c>
      <c r="F4">
        <v>6.6135287284851074</v>
      </c>
      <c r="G4">
        <v>6.5668573379516602</v>
      </c>
      <c r="H4" t="s">
        <v>24</v>
      </c>
      <c r="I4" t="s">
        <v>24</v>
      </c>
      <c r="J4">
        <v>52</v>
      </c>
      <c r="K4">
        <v>333.8800048828125</v>
      </c>
      <c r="L4">
        <v>319</v>
      </c>
      <c r="M4">
        <v>3</v>
      </c>
      <c r="N4">
        <v>369.8800048828125</v>
      </c>
      <c r="O4">
        <v>124</v>
      </c>
      <c r="P4">
        <v>851</v>
      </c>
      <c r="Q4" t="s">
        <v>25</v>
      </c>
      <c r="R4" t="s">
        <v>25</v>
      </c>
      <c r="S4" t="s">
        <v>25</v>
      </c>
      <c r="T4">
        <v>727</v>
      </c>
      <c r="U4">
        <v>390</v>
      </c>
      <c r="V4" t="s">
        <v>25</v>
      </c>
      <c r="W4">
        <v>0</v>
      </c>
      <c r="X4">
        <v>0</v>
      </c>
    </row>
    <row r="5" spans="1:24" x14ac:dyDescent="0.3">
      <c r="A5" s="2">
        <v>45053</v>
      </c>
      <c r="B5">
        <v>68.205436706542969</v>
      </c>
      <c r="C5">
        <v>50.330226898193359</v>
      </c>
      <c r="D5">
        <v>0</v>
      </c>
      <c r="E5">
        <v>800</v>
      </c>
      <c r="F5">
        <v>6.6324586868286133</v>
      </c>
      <c r="G5">
        <v>6.5718021392822266</v>
      </c>
      <c r="H5" t="s">
        <v>24</v>
      </c>
      <c r="I5" t="s">
        <v>24</v>
      </c>
      <c r="J5">
        <v>52</v>
      </c>
      <c r="K5">
        <v>333.8800048828125</v>
      </c>
      <c r="L5">
        <v>319</v>
      </c>
      <c r="M5">
        <v>3</v>
      </c>
      <c r="N5">
        <v>369.8800048828125</v>
      </c>
      <c r="O5">
        <v>124</v>
      </c>
      <c r="P5">
        <v>851</v>
      </c>
      <c r="Q5" t="s">
        <v>25</v>
      </c>
      <c r="R5" t="s">
        <v>25</v>
      </c>
      <c r="S5" t="s">
        <v>25</v>
      </c>
      <c r="T5">
        <v>727</v>
      </c>
      <c r="U5">
        <v>390</v>
      </c>
      <c r="V5" t="s">
        <v>25</v>
      </c>
      <c r="W5">
        <v>0</v>
      </c>
      <c r="X5">
        <v>0</v>
      </c>
    </row>
    <row r="6" spans="1:24" x14ac:dyDescent="0.3">
      <c r="A6" s="2">
        <v>45054</v>
      </c>
      <c r="B6">
        <v>69.399833679199219</v>
      </c>
      <c r="C6">
        <v>50.489791870117188</v>
      </c>
      <c r="D6">
        <v>0</v>
      </c>
      <c r="E6">
        <v>800</v>
      </c>
      <c r="F6">
        <v>6.4668145179748535</v>
      </c>
      <c r="G6">
        <v>6.5160880088806152</v>
      </c>
      <c r="H6" t="s">
        <v>24</v>
      </c>
      <c r="I6" t="s">
        <v>24</v>
      </c>
      <c r="J6">
        <v>52</v>
      </c>
      <c r="K6">
        <v>326.32000732421875</v>
      </c>
      <c r="L6">
        <v>313</v>
      </c>
      <c r="M6">
        <v>4</v>
      </c>
      <c r="N6">
        <v>374.32000732421875</v>
      </c>
      <c r="O6">
        <v>111</v>
      </c>
      <c r="P6">
        <v>857</v>
      </c>
      <c r="Q6" t="s">
        <v>25</v>
      </c>
      <c r="R6" t="s">
        <v>25</v>
      </c>
      <c r="S6" t="s">
        <v>25</v>
      </c>
      <c r="T6">
        <v>746</v>
      </c>
      <c r="U6">
        <v>390</v>
      </c>
      <c r="V6" t="s">
        <v>25</v>
      </c>
      <c r="W6">
        <v>0</v>
      </c>
      <c r="X6">
        <v>0</v>
      </c>
    </row>
    <row r="7" spans="1:24" x14ac:dyDescent="0.3">
      <c r="A7" s="2">
        <v>45055</v>
      </c>
      <c r="B7">
        <v>86.436119079589844</v>
      </c>
      <c r="C7">
        <v>56.597023010253906</v>
      </c>
      <c r="D7">
        <v>0</v>
      </c>
      <c r="E7">
        <v>800</v>
      </c>
      <c r="F7">
        <v>6.2666168212890625</v>
      </c>
      <c r="G7">
        <v>6.2811059951782227</v>
      </c>
      <c r="H7" t="s">
        <v>24</v>
      </c>
      <c r="I7" t="s">
        <v>24</v>
      </c>
      <c r="J7">
        <v>51</v>
      </c>
      <c r="K7">
        <v>337.1199951171875</v>
      </c>
      <c r="L7">
        <v>325</v>
      </c>
      <c r="M7">
        <v>3</v>
      </c>
      <c r="N7">
        <v>373.1199951171875</v>
      </c>
      <c r="O7">
        <v>101</v>
      </c>
      <c r="P7">
        <v>846</v>
      </c>
      <c r="Q7" t="s">
        <v>25</v>
      </c>
      <c r="R7" t="s">
        <v>25</v>
      </c>
      <c r="S7" t="s">
        <v>25</v>
      </c>
      <c r="T7">
        <v>745</v>
      </c>
      <c r="U7">
        <v>391</v>
      </c>
      <c r="V7" t="s">
        <v>25</v>
      </c>
      <c r="W7">
        <v>0</v>
      </c>
      <c r="X7">
        <v>0</v>
      </c>
    </row>
    <row r="8" spans="1:24" x14ac:dyDescent="0.3">
      <c r="A8" s="2">
        <v>45056</v>
      </c>
      <c r="B8">
        <v>79.181930541992188</v>
      </c>
      <c r="C8">
        <v>54.8204345703125</v>
      </c>
      <c r="D8">
        <v>0</v>
      </c>
      <c r="E8">
        <v>800</v>
      </c>
      <c r="F8">
        <v>5.9866104125976563</v>
      </c>
      <c r="G8">
        <v>6.08795166015625</v>
      </c>
      <c r="H8" t="s">
        <v>24</v>
      </c>
      <c r="I8" t="s">
        <v>24</v>
      </c>
      <c r="J8">
        <v>52</v>
      </c>
      <c r="K8">
        <v>337.1199951171875</v>
      </c>
      <c r="L8">
        <v>325</v>
      </c>
      <c r="M8">
        <v>3</v>
      </c>
      <c r="N8">
        <v>373.1199951171875</v>
      </c>
      <c r="O8">
        <v>101</v>
      </c>
      <c r="P8">
        <v>846</v>
      </c>
      <c r="Q8" t="s">
        <v>25</v>
      </c>
      <c r="R8" t="s">
        <v>25</v>
      </c>
      <c r="S8" t="s">
        <v>25</v>
      </c>
      <c r="T8">
        <v>745</v>
      </c>
      <c r="U8">
        <v>391</v>
      </c>
      <c r="V8" t="s">
        <v>25</v>
      </c>
      <c r="W8">
        <v>0</v>
      </c>
      <c r="X8">
        <v>0</v>
      </c>
    </row>
    <row r="9" spans="1:24" x14ac:dyDescent="0.3">
      <c r="A9" s="2">
        <v>45057</v>
      </c>
      <c r="B9">
        <v>95.067550659179688</v>
      </c>
      <c r="C9">
        <v>57.847034454345703</v>
      </c>
      <c r="D9">
        <v>0</v>
      </c>
      <c r="E9">
        <v>800</v>
      </c>
      <c r="F9">
        <v>5.6595687866210938</v>
      </c>
      <c r="G9">
        <v>6.2132682800292969</v>
      </c>
      <c r="H9" t="s">
        <v>24</v>
      </c>
      <c r="I9" t="s">
        <v>24</v>
      </c>
      <c r="J9">
        <v>15.672768592834473</v>
      </c>
      <c r="K9">
        <v>340.60000610351563</v>
      </c>
      <c r="L9">
        <v>331</v>
      </c>
      <c r="M9">
        <v>3</v>
      </c>
      <c r="N9">
        <v>376.60000610351563</v>
      </c>
      <c r="O9">
        <v>80</v>
      </c>
      <c r="P9">
        <v>840</v>
      </c>
      <c r="Q9" t="s">
        <v>25</v>
      </c>
      <c r="R9" t="s">
        <v>25</v>
      </c>
      <c r="S9" t="s">
        <v>25</v>
      </c>
      <c r="T9">
        <v>760</v>
      </c>
      <c r="U9">
        <v>391</v>
      </c>
      <c r="V9" t="s">
        <v>25</v>
      </c>
      <c r="W9">
        <v>0</v>
      </c>
      <c r="X9">
        <v>1</v>
      </c>
    </row>
    <row r="10" spans="1:24" x14ac:dyDescent="0.3">
      <c r="A10" s="2">
        <v>45058</v>
      </c>
      <c r="B10">
        <v>70.214950561523438</v>
      </c>
      <c r="C10">
        <v>51.969482421875</v>
      </c>
      <c r="D10">
        <v>0</v>
      </c>
      <c r="E10">
        <v>800</v>
      </c>
      <c r="F10">
        <v>5.3138880729675293</v>
      </c>
      <c r="G10">
        <v>6.019432544708252</v>
      </c>
      <c r="H10" t="s">
        <v>24</v>
      </c>
      <c r="I10" t="s">
        <v>24</v>
      </c>
      <c r="J10">
        <v>23.584695816040039</v>
      </c>
      <c r="K10">
        <v>347.20001220703125</v>
      </c>
      <c r="L10">
        <v>340</v>
      </c>
      <c r="M10">
        <v>2</v>
      </c>
      <c r="N10">
        <v>371.20001220703125</v>
      </c>
      <c r="O10">
        <v>60</v>
      </c>
      <c r="P10">
        <v>830</v>
      </c>
      <c r="Q10" t="s">
        <v>25</v>
      </c>
      <c r="R10" t="s">
        <v>25</v>
      </c>
      <c r="S10" t="s">
        <v>25</v>
      </c>
      <c r="T10">
        <v>770</v>
      </c>
      <c r="U10">
        <v>390</v>
      </c>
      <c r="V10" t="s">
        <v>25</v>
      </c>
      <c r="W10">
        <v>1</v>
      </c>
      <c r="X10">
        <v>2</v>
      </c>
    </row>
    <row r="11" spans="1:24" x14ac:dyDescent="0.3">
      <c r="A11" s="2">
        <v>45059</v>
      </c>
      <c r="B11">
        <v>81.65216064453125</v>
      </c>
      <c r="C11">
        <v>56.033954620361328</v>
      </c>
      <c r="D11">
        <v>0</v>
      </c>
      <c r="E11">
        <v>800</v>
      </c>
      <c r="F11">
        <v>5.2776346206665039</v>
      </c>
      <c r="G11">
        <v>6.0037198066711426</v>
      </c>
      <c r="H11" t="s">
        <v>24</v>
      </c>
      <c r="I11" t="s">
        <v>24</v>
      </c>
      <c r="J11">
        <v>0</v>
      </c>
      <c r="K11">
        <v>365.39999389648438</v>
      </c>
      <c r="L11">
        <v>345</v>
      </c>
      <c r="M11">
        <v>1</v>
      </c>
      <c r="N11">
        <v>377.39999389648438</v>
      </c>
      <c r="O11">
        <v>170</v>
      </c>
      <c r="P11">
        <v>825</v>
      </c>
      <c r="Q11" t="s">
        <v>25</v>
      </c>
      <c r="R11" t="s">
        <v>25</v>
      </c>
      <c r="S11" t="s">
        <v>25</v>
      </c>
      <c r="T11">
        <v>655</v>
      </c>
      <c r="U11">
        <v>390</v>
      </c>
      <c r="V11" t="s">
        <v>25</v>
      </c>
      <c r="W11">
        <v>0</v>
      </c>
      <c r="X11">
        <v>0</v>
      </c>
    </row>
    <row r="12" spans="1:24" x14ac:dyDescent="0.3">
      <c r="A12" s="2">
        <v>45060</v>
      </c>
      <c r="B12">
        <v>80.312980651855469</v>
      </c>
      <c r="C12">
        <v>53.761703491210938</v>
      </c>
      <c r="D12">
        <v>0</v>
      </c>
      <c r="E12">
        <v>800</v>
      </c>
      <c r="F12">
        <v>5.361872673034668</v>
      </c>
      <c r="G12">
        <v>6.1133618354797363</v>
      </c>
      <c r="H12" t="s">
        <v>24</v>
      </c>
      <c r="I12" t="s">
        <v>24</v>
      </c>
      <c r="J12">
        <v>0</v>
      </c>
      <c r="K12">
        <v>365.39999389648438</v>
      </c>
      <c r="L12">
        <v>345</v>
      </c>
      <c r="M12">
        <v>1</v>
      </c>
      <c r="N12">
        <v>377.39999389648438</v>
      </c>
      <c r="O12">
        <v>170</v>
      </c>
      <c r="P12">
        <v>825</v>
      </c>
      <c r="Q12" t="s">
        <v>25</v>
      </c>
      <c r="R12" t="s">
        <v>25</v>
      </c>
      <c r="S12" t="s">
        <v>25</v>
      </c>
      <c r="T12">
        <v>655</v>
      </c>
      <c r="U12">
        <v>390</v>
      </c>
      <c r="V12" t="s">
        <v>25</v>
      </c>
      <c r="W12">
        <v>0</v>
      </c>
      <c r="X12">
        <v>0</v>
      </c>
    </row>
    <row r="13" spans="1:24" x14ac:dyDescent="0.3">
      <c r="A13" s="2">
        <v>45061</v>
      </c>
      <c r="B13">
        <v>62.220024108886719</v>
      </c>
      <c r="C13">
        <v>49.251102447509766</v>
      </c>
      <c r="D13">
        <v>0</v>
      </c>
      <c r="E13">
        <v>800</v>
      </c>
      <c r="F13">
        <v>5.1136069297790527</v>
      </c>
      <c r="G13">
        <v>5.7150483131408691</v>
      </c>
      <c r="H13" t="s">
        <v>24</v>
      </c>
      <c r="I13" t="s">
        <v>24</v>
      </c>
      <c r="J13">
        <v>0</v>
      </c>
      <c r="K13">
        <v>365.39999389648438</v>
      </c>
      <c r="L13">
        <v>345</v>
      </c>
      <c r="M13">
        <v>1</v>
      </c>
      <c r="N13">
        <v>377.39999389648438</v>
      </c>
      <c r="O13">
        <v>170</v>
      </c>
      <c r="P13">
        <v>825</v>
      </c>
      <c r="Q13" t="s">
        <v>25</v>
      </c>
      <c r="R13" t="s">
        <v>25</v>
      </c>
      <c r="S13" t="s">
        <v>25</v>
      </c>
      <c r="T13">
        <v>655</v>
      </c>
      <c r="U13">
        <v>390</v>
      </c>
      <c r="V13" t="s">
        <v>25</v>
      </c>
      <c r="W13">
        <v>0</v>
      </c>
      <c r="X13">
        <v>0</v>
      </c>
    </row>
    <row r="14" spans="1:24" x14ac:dyDescent="0.3">
      <c r="A14" s="2">
        <v>45062</v>
      </c>
      <c r="B14">
        <v>67.796150207519531</v>
      </c>
      <c r="C14">
        <v>50.106670379638672</v>
      </c>
      <c r="D14">
        <v>0</v>
      </c>
      <c r="E14">
        <v>800</v>
      </c>
      <c r="F14">
        <v>4.5051345825195313</v>
      </c>
      <c r="G14">
        <v>4.8124275207519531</v>
      </c>
      <c r="H14" t="s">
        <v>24</v>
      </c>
      <c r="I14" t="s">
        <v>24</v>
      </c>
      <c r="J14">
        <v>0</v>
      </c>
      <c r="K14">
        <v>365.39999389648438</v>
      </c>
      <c r="L14">
        <v>345</v>
      </c>
      <c r="M14">
        <v>1</v>
      </c>
      <c r="N14">
        <v>377.39999389648438</v>
      </c>
      <c r="O14">
        <v>170</v>
      </c>
      <c r="P14">
        <v>825</v>
      </c>
      <c r="Q14" t="s">
        <v>25</v>
      </c>
      <c r="R14" t="s">
        <v>25</v>
      </c>
      <c r="S14" t="s">
        <v>25</v>
      </c>
      <c r="T14">
        <v>655</v>
      </c>
      <c r="U14">
        <v>390</v>
      </c>
      <c r="V14" t="s">
        <v>25</v>
      </c>
      <c r="W14">
        <v>0</v>
      </c>
      <c r="X14">
        <v>0</v>
      </c>
    </row>
    <row r="15" spans="1:24" x14ac:dyDescent="0.3">
      <c r="A15" s="2">
        <v>45063</v>
      </c>
      <c r="B15">
        <v>25.230831146240234</v>
      </c>
      <c r="C15">
        <v>26.098861694335938</v>
      </c>
      <c r="D15">
        <v>0</v>
      </c>
      <c r="E15">
        <v>800</v>
      </c>
      <c r="F15">
        <v>4.3618531227111816</v>
      </c>
      <c r="G15">
        <v>4.8845977783203125</v>
      </c>
      <c r="H15" t="s">
        <v>24</v>
      </c>
      <c r="I15" t="s">
        <v>24</v>
      </c>
      <c r="J15">
        <v>0</v>
      </c>
      <c r="K15">
        <v>365.39999389648438</v>
      </c>
      <c r="L15">
        <v>345</v>
      </c>
      <c r="M15">
        <v>1</v>
      </c>
      <c r="N15">
        <v>377.39999389648438</v>
      </c>
      <c r="O15">
        <v>170</v>
      </c>
      <c r="P15">
        <v>825</v>
      </c>
      <c r="Q15" t="s">
        <v>25</v>
      </c>
      <c r="R15" t="s">
        <v>25</v>
      </c>
      <c r="S15" t="s">
        <v>25</v>
      </c>
      <c r="T15">
        <v>655</v>
      </c>
      <c r="U15">
        <v>390</v>
      </c>
      <c r="V15" t="s">
        <v>25</v>
      </c>
      <c r="W15">
        <v>0</v>
      </c>
      <c r="X15">
        <v>0</v>
      </c>
    </row>
    <row r="16" spans="1:24" x14ac:dyDescent="0.3">
      <c r="A16" s="2">
        <v>45064</v>
      </c>
      <c r="B16">
        <v>24.265024185180664</v>
      </c>
      <c r="C16">
        <v>23.957683563232422</v>
      </c>
      <c r="D16">
        <v>0</v>
      </c>
      <c r="E16">
        <v>800</v>
      </c>
      <c r="F16">
        <v>4.7442231178283691</v>
      </c>
      <c r="G16">
        <v>5.6490893363952637</v>
      </c>
      <c r="H16" t="s">
        <v>24</v>
      </c>
      <c r="I16" t="s">
        <v>24</v>
      </c>
      <c r="J16">
        <v>0</v>
      </c>
      <c r="K16">
        <v>365.39999389648438</v>
      </c>
      <c r="L16">
        <v>345</v>
      </c>
      <c r="M16">
        <v>1</v>
      </c>
      <c r="N16">
        <v>377.39999389648438</v>
      </c>
      <c r="O16">
        <v>170</v>
      </c>
      <c r="P16">
        <v>825</v>
      </c>
      <c r="Q16" t="s">
        <v>25</v>
      </c>
      <c r="R16" t="s">
        <v>25</v>
      </c>
      <c r="S16" t="s">
        <v>25</v>
      </c>
      <c r="T16">
        <v>655</v>
      </c>
      <c r="U16">
        <v>390</v>
      </c>
      <c r="V16" t="s">
        <v>25</v>
      </c>
      <c r="W16">
        <v>0</v>
      </c>
      <c r="X16">
        <v>0</v>
      </c>
    </row>
    <row r="17" spans="1:24" x14ac:dyDescent="0.3">
      <c r="A17" s="2">
        <v>45065</v>
      </c>
      <c r="B17">
        <v>23.414987564086914</v>
      </c>
      <c r="C17">
        <v>23.523666381835938</v>
      </c>
      <c r="D17">
        <v>0</v>
      </c>
      <c r="E17">
        <v>800</v>
      </c>
      <c r="F17">
        <v>4.8493356704711914</v>
      </c>
      <c r="G17">
        <v>5.8778958320617676</v>
      </c>
      <c r="H17" t="s">
        <v>24</v>
      </c>
      <c r="I17" t="s">
        <v>24</v>
      </c>
      <c r="J17">
        <v>0</v>
      </c>
      <c r="K17">
        <v>365.39999389648438</v>
      </c>
      <c r="L17">
        <v>345</v>
      </c>
      <c r="M17">
        <v>1</v>
      </c>
      <c r="N17">
        <v>377.39999389648438</v>
      </c>
      <c r="O17">
        <v>170</v>
      </c>
      <c r="P17">
        <v>825</v>
      </c>
      <c r="Q17" t="s">
        <v>25</v>
      </c>
      <c r="R17" t="s">
        <v>25</v>
      </c>
      <c r="S17" t="s">
        <v>25</v>
      </c>
      <c r="T17">
        <v>655</v>
      </c>
      <c r="U17">
        <v>390</v>
      </c>
      <c r="V17" t="s">
        <v>25</v>
      </c>
      <c r="W17">
        <v>0</v>
      </c>
      <c r="X17">
        <v>0</v>
      </c>
    </row>
    <row r="18" spans="1:24" x14ac:dyDescent="0.3">
      <c r="A18" s="2">
        <v>45066</v>
      </c>
      <c r="B18">
        <v>24.209846496582031</v>
      </c>
      <c r="C18">
        <v>24.304895401000977</v>
      </c>
      <c r="D18">
        <v>0</v>
      </c>
      <c r="E18">
        <v>800</v>
      </c>
      <c r="F18">
        <v>4.5901026725769043</v>
      </c>
      <c r="G18">
        <v>5.5795321464538574</v>
      </c>
      <c r="H18" t="s">
        <v>24</v>
      </c>
      <c r="I18" t="s">
        <v>24</v>
      </c>
      <c r="J18">
        <v>0</v>
      </c>
      <c r="K18">
        <v>365.39999389648438</v>
      </c>
      <c r="L18">
        <v>345</v>
      </c>
      <c r="M18">
        <v>1</v>
      </c>
      <c r="N18">
        <v>377.39999389648438</v>
      </c>
      <c r="O18">
        <v>170</v>
      </c>
      <c r="P18">
        <v>825</v>
      </c>
      <c r="Q18" t="s">
        <v>25</v>
      </c>
      <c r="R18" t="s">
        <v>25</v>
      </c>
      <c r="S18" t="s">
        <v>25</v>
      </c>
      <c r="T18">
        <v>655</v>
      </c>
      <c r="U18">
        <v>390</v>
      </c>
      <c r="V18" t="s">
        <v>25</v>
      </c>
      <c r="W18">
        <v>0</v>
      </c>
      <c r="X18">
        <v>0</v>
      </c>
    </row>
    <row r="19" spans="1:24" x14ac:dyDescent="0.3">
      <c r="A19" s="2">
        <v>45067</v>
      </c>
      <c r="B19">
        <v>24.21809196472168</v>
      </c>
      <c r="C19">
        <v>24.295810699462891</v>
      </c>
      <c r="D19">
        <v>0</v>
      </c>
      <c r="E19">
        <v>800</v>
      </c>
      <c r="F19">
        <v>4.7215924263000488</v>
      </c>
      <c r="G19">
        <v>5.778167724609375</v>
      </c>
      <c r="H19" t="s">
        <v>24</v>
      </c>
      <c r="I19" t="s">
        <v>24</v>
      </c>
      <c r="J19">
        <v>0</v>
      </c>
      <c r="K19">
        <v>365.39999389648438</v>
      </c>
      <c r="L19">
        <v>345</v>
      </c>
      <c r="M19">
        <v>1</v>
      </c>
      <c r="N19">
        <v>377.39999389648438</v>
      </c>
      <c r="O19">
        <v>170</v>
      </c>
      <c r="P19">
        <v>825</v>
      </c>
      <c r="Q19" t="s">
        <v>25</v>
      </c>
      <c r="R19" t="s">
        <v>25</v>
      </c>
      <c r="S19" t="s">
        <v>25</v>
      </c>
      <c r="T19">
        <v>655</v>
      </c>
      <c r="U19">
        <v>390</v>
      </c>
      <c r="V19" t="s">
        <v>25</v>
      </c>
      <c r="W19">
        <v>0</v>
      </c>
      <c r="X19">
        <v>0</v>
      </c>
    </row>
    <row r="20" spans="1:24" x14ac:dyDescent="0.3">
      <c r="A20" s="2">
        <v>45068</v>
      </c>
      <c r="B20">
        <v>24.304895401000977</v>
      </c>
      <c r="C20">
        <v>24.391698837280273</v>
      </c>
      <c r="D20">
        <v>0</v>
      </c>
      <c r="E20">
        <v>800</v>
      </c>
      <c r="F20">
        <v>4.8540835380554199</v>
      </c>
      <c r="G20">
        <v>5.8812131881713867</v>
      </c>
      <c r="H20" t="s">
        <v>24</v>
      </c>
      <c r="I20" t="s">
        <v>24</v>
      </c>
      <c r="J20">
        <v>0</v>
      </c>
      <c r="K20">
        <v>365.39999389648438</v>
      </c>
      <c r="L20">
        <v>345</v>
      </c>
      <c r="M20">
        <v>1</v>
      </c>
      <c r="N20">
        <v>377.39999389648438</v>
      </c>
      <c r="O20">
        <v>170</v>
      </c>
      <c r="P20">
        <v>820</v>
      </c>
      <c r="Q20" t="s">
        <v>25</v>
      </c>
      <c r="R20" t="s">
        <v>25</v>
      </c>
      <c r="S20" t="s">
        <v>25</v>
      </c>
      <c r="T20">
        <v>650</v>
      </c>
      <c r="U20">
        <v>385</v>
      </c>
      <c r="V20" t="s">
        <v>25</v>
      </c>
      <c r="W20">
        <v>5</v>
      </c>
      <c r="X20">
        <v>0</v>
      </c>
    </row>
    <row r="21" spans="1:24" x14ac:dyDescent="0.3">
      <c r="A21" s="2">
        <v>45069</v>
      </c>
      <c r="B21">
        <v>24.044485092163086</v>
      </c>
      <c r="C21">
        <v>24.21809196472168</v>
      </c>
      <c r="D21">
        <v>0</v>
      </c>
      <c r="E21">
        <v>511.5631103515625</v>
      </c>
      <c r="F21">
        <v>4.8120632171630859</v>
      </c>
      <c r="G21">
        <v>5.7586479187011719</v>
      </c>
      <c r="H21" t="s">
        <v>24</v>
      </c>
      <c r="I21" t="s">
        <v>24</v>
      </c>
      <c r="J21">
        <v>0</v>
      </c>
      <c r="K21">
        <v>365.39999389648438</v>
      </c>
      <c r="L21">
        <v>345</v>
      </c>
      <c r="M21">
        <v>1</v>
      </c>
      <c r="N21">
        <v>377.39999389648438</v>
      </c>
      <c r="O21">
        <v>170</v>
      </c>
      <c r="P21">
        <v>820</v>
      </c>
      <c r="Q21" t="s">
        <v>25</v>
      </c>
      <c r="R21" t="s">
        <v>25</v>
      </c>
      <c r="S21" t="s">
        <v>25</v>
      </c>
      <c r="T21">
        <v>650</v>
      </c>
      <c r="U21">
        <v>385</v>
      </c>
      <c r="V21" t="s">
        <v>25</v>
      </c>
      <c r="W21">
        <v>0</v>
      </c>
      <c r="X21">
        <v>0</v>
      </c>
    </row>
    <row r="22" spans="1:24" x14ac:dyDescent="0.3">
      <c r="A22" s="2">
        <v>45070</v>
      </c>
      <c r="B22">
        <v>24.21809196472168</v>
      </c>
      <c r="C22">
        <v>24.240652084350586</v>
      </c>
      <c r="D22">
        <v>0</v>
      </c>
      <c r="E22">
        <v>510.8282470703125</v>
      </c>
      <c r="F22">
        <v>4.8673529624938965</v>
      </c>
      <c r="G22">
        <v>5.8649907112121582</v>
      </c>
      <c r="H22" t="s">
        <v>24</v>
      </c>
      <c r="I22" t="s">
        <v>24</v>
      </c>
      <c r="J22">
        <v>0</v>
      </c>
      <c r="K22">
        <v>365.39999389648438</v>
      </c>
      <c r="L22">
        <v>345</v>
      </c>
      <c r="M22">
        <v>1</v>
      </c>
      <c r="N22">
        <v>377.39999389648438</v>
      </c>
      <c r="O22">
        <v>170</v>
      </c>
      <c r="P22">
        <v>820</v>
      </c>
      <c r="Q22" t="s">
        <v>25</v>
      </c>
      <c r="R22" t="s">
        <v>25</v>
      </c>
      <c r="S22" t="s">
        <v>25</v>
      </c>
      <c r="T22">
        <v>650</v>
      </c>
      <c r="U22">
        <v>385</v>
      </c>
      <c r="V22" t="s">
        <v>25</v>
      </c>
      <c r="W22">
        <v>0</v>
      </c>
      <c r="X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2023-05-24T08:43:24Z</dcterms:created>
  <dcterms:modified xsi:type="dcterms:W3CDTF">2023-10-08T06:13:08Z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2023-10-08T06:13:08Z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db7bc086-a4a0-4940-b2f7-d7abd9f139c5</vt:lpwstr>
  </property>
  <property fmtid="{D5CDD505-2E9C-101B-9397-08002B2CF9AE}" pid="8" name="MSIP_Label_191e5c6f-754a-402f-a84b-5121252711c5_ContentBits">
    <vt:lpwstr>0</vt:lpwstr>
  </property>
</Properties>
</file>