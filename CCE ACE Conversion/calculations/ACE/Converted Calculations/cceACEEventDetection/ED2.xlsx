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ACE Conversion\calculations\ACE\Converted Calculations\cceACEEventDetection\"/>
    </mc:Choice>
  </mc:AlternateContent>
  <bookViews>
    <workbookView xWindow="0" yWindow="0" windowWidth="3495" windowHeight="229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 a="1"/>
  <c r="M2" i="1" a="1"/>
  <c r="K2" i="1" a="1"/>
  <c r="I2" i="1" a="1"/>
  <c r="G2" i="1" a="1"/>
  <c r="E2" i="1" a="1"/>
  <c r="C2" i="1" a="1"/>
  <c r="A2" i="1" a="1"/>
  <c r="O2" i="1" l="1"/>
  <c r="O10" i="1"/>
  <c r="P2" i="1"/>
  <c r="P10" i="1"/>
  <c r="O3" i="1"/>
  <c r="O11" i="1"/>
  <c r="P3" i="1"/>
  <c r="P11" i="1"/>
  <c r="O4" i="1"/>
  <c r="P4" i="1"/>
  <c r="O5" i="1"/>
  <c r="P5" i="1"/>
  <c r="O6" i="1"/>
  <c r="P6" i="1"/>
  <c r="O7" i="1"/>
  <c r="P7" i="1"/>
  <c r="O8" i="1"/>
  <c r="P8" i="1"/>
  <c r="O9" i="1"/>
  <c r="P9" i="1"/>
  <c r="N9" i="1"/>
  <c r="M2" i="1"/>
  <c r="M10" i="1"/>
  <c r="N2" i="1"/>
  <c r="N10" i="1"/>
  <c r="M3" i="1"/>
  <c r="M11" i="1"/>
  <c r="N3" i="1"/>
  <c r="N11" i="1"/>
  <c r="M4" i="1"/>
  <c r="N4" i="1"/>
  <c r="M5" i="1"/>
  <c r="N5" i="1"/>
  <c r="M6" i="1"/>
  <c r="M7" i="1"/>
  <c r="N7" i="1"/>
  <c r="M8" i="1"/>
  <c r="N8" i="1"/>
  <c r="N6" i="1"/>
  <c r="M9" i="1"/>
  <c r="K2" i="1"/>
  <c r="L2" i="1"/>
  <c r="I2" i="1"/>
  <c r="J2" i="1"/>
  <c r="G2" i="1"/>
  <c r="H2" i="1"/>
  <c r="E2" i="1"/>
  <c r="F2" i="1"/>
  <c r="C2" i="1"/>
  <c r="D2" i="1"/>
  <c r="A2" i="1"/>
  <c r="B2" i="1"/>
</calcChain>
</file>

<file path=xl/sharedStrings.xml><?xml version="1.0" encoding="utf-8"?>
<sst xmlns="http://schemas.openxmlformats.org/spreadsheetml/2006/main" count="16" uniqueCount="16">
  <si>
    <t>\\cenmes\CCE01\POLS\CCEACE\AISPOLSPI01 ModuleDB\EventDetection\POLSFCE1_CSTB_PCA|Event_1</t>
  </si>
  <si>
    <t>\\cenmes\CCE01\POLS\CCEACE\AISPOLSPI01 ModuleDB\EventDetection\POLSFCE1_CSTB_PCA|Event_2</t>
  </si>
  <si>
    <t>\\cenmes\CCE01\POLS\CCEACE\AISPOLSPI01 ModuleDB\EventDetection\POLSFCE1_CSTB_PCA|RawMean_1</t>
  </si>
  <si>
    <t>\\cenmes\CCE01\POLS\CCEACE\AISPOLSPI01 ModuleDB\EventDetection\POLSFCE1_CSTB_PCA|RawMean_2</t>
  </si>
  <si>
    <t>\\cenmes\CCE01\POLS\CCEACE\AISPOLSPI01 ModuleDB\EventDetection\POLSFCE1_CSTB_PCA|Sigma_1</t>
  </si>
  <si>
    <t>\\cenmes\CCE01\POLS\CCEACE\AISPOLSPI01 ModuleDB\EventDetection\POLSFCE1_CSTB_PCA|Sigma_2</t>
  </si>
  <si>
    <t>\\cenmes\CCE01\POLS\CCEACE\AISPOLSPI01 ModuleDB\EventDetection\POLSFCE1_CSTB_PCA|WaterTag_1</t>
  </si>
  <si>
    <t>\\cenmes\CCE01\POLS\CCEACE\AISPOLSPI01 ModuleDB\EventDetection\POLSFCE1_CSTB_PCA|WaterTag_2</t>
  </si>
  <si>
    <t>Event_1</t>
  </si>
  <si>
    <t>Event_2</t>
  </si>
  <si>
    <t>RawMean_1</t>
  </si>
  <si>
    <t>RawMean_2</t>
  </si>
  <si>
    <t>Sigma_1</t>
  </si>
  <si>
    <t>Sigma_2</t>
  </si>
  <si>
    <t>WaterTag_1</t>
  </si>
  <si>
    <t>WaterTag_2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</si>
</sst>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K20" sqref="A1:XFD1048576"/>
    </sheetView>
  </sheetViews>
  <sheetFormatPr defaultRowHeight="15" x14ac:dyDescent="0.25"/>
  <cols>
    <col min="1" max="1" width="13.85546875" customWidth="1"/>
    <col min="7" max="7" width="18" bestFit="1" customWidth="1"/>
    <col min="9" max="9" width="18" bestFit="1" customWidth="1"/>
    <col min="11" max="11" width="18" bestFit="1" customWidth="1"/>
    <col min="13" max="13" width="18" bestFit="1" customWidth="1"/>
    <col min="15" max="15" width="18" bestFit="1" customWidth="1"/>
  </cols>
  <sheetData>
    <row r="1" spans="1:16" x14ac:dyDescent="0.25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</row>
    <row r="2" spans="1:16" x14ac:dyDescent="0.25">
      <c r="A2" s="2">
        <f t="array" ref="A2:B2">_xll.PINCompDat(Sheet1!$B$1,"*",-1,1,"","inside")</f>
        <v>45369.332870370374</v>
      </c>
      <c r="B2" s="3" t="str">
        <v>OFF</v>
      </c>
      <c r="C2" s="2">
        <f t="array" ref="C2:D2">_xll.PINCompDat(Sheet1!$D$1,"*",-1,1,"","inside")</f>
        <v>45380.746759259258</v>
      </c>
      <c r="D2" s="3" t="str">
        <v>OFF</v>
      </c>
      <c r="E2" s="2">
        <f t="array" ref="E2:F2">_xll.PINCompDat(Sheet1!$F$1,"*",-1,1,"","inside")</f>
        <v>45414.451394282405</v>
      </c>
      <c r="F2" s="3">
        <v>47.385589599609375</v>
      </c>
      <c r="G2" s="2">
        <f t="array" ref="G2:H2">_xll.PINCompDat(Sheet1!$H$1,"*",-1,1,"","inside")</f>
        <v>45414.451394282405</v>
      </c>
      <c r="H2" s="3">
        <v>45.562999725341797</v>
      </c>
      <c r="I2" s="2">
        <f t="array" ref="I2:J2">_xll.PINCompDat(Sheet1!$J$1,"*",-1,1,"","inside")</f>
        <v>45414.451394282405</v>
      </c>
      <c r="J2" s="3">
        <v>50.724540710449219</v>
      </c>
      <c r="K2" s="2">
        <f t="array" ref="K2:L2">_xll.PINCompDat(Sheet1!$L$1,"*",-1,1,"","inside")</f>
        <v>45414.451394282405</v>
      </c>
      <c r="L2" s="3">
        <v>50.220935821533203</v>
      </c>
      <c r="M2" s="2">
        <f t="array" ref="M2:N11">_xll.PISampDat(Sheet1!$N$1,"*-90s","*","10s",1,"")</f>
        <v>45414.453658784725</v>
      </c>
      <c r="N2" s="3">
        <v>41.737998962402344</v>
      </c>
      <c r="O2" s="2">
        <f t="array" ref="O2:P11">_xll.PISampDat(Sheet1!$P$1,"*-90s","*","10s",1,"")</f>
        <v>45414.45381929398</v>
      </c>
      <c r="P2" s="3">
        <v>41.668663024902344</v>
      </c>
    </row>
    <row r="3" spans="1:16" x14ac:dyDescent="0.25">
      <c r="M3" s="2">
        <v>45414.453774525464</v>
      </c>
      <c r="N3" s="3">
        <v>41.687999725341797</v>
      </c>
      <c r="O3" s="2">
        <v>45414.453935034719</v>
      </c>
      <c r="P3" s="3">
        <v>41.618667602539063</v>
      </c>
    </row>
    <row r="4" spans="1:16" x14ac:dyDescent="0.25">
      <c r="M4" s="2">
        <v>45414.453890266203</v>
      </c>
      <c r="N4" s="3">
        <v>41.638004302978516</v>
      </c>
      <c r="O4" s="2">
        <v>45414.454050775465</v>
      </c>
      <c r="P4" s="3">
        <v>41.725353240966797</v>
      </c>
    </row>
    <row r="5" spans="1:16" x14ac:dyDescent="0.25">
      <c r="M5" s="2">
        <v>45414.454006006941</v>
      </c>
      <c r="N5" s="3">
        <v>41.648002624511719</v>
      </c>
      <c r="O5" s="2">
        <v>45414.454166516203</v>
      </c>
      <c r="P5" s="3">
        <v>41.737331390380859</v>
      </c>
    </row>
    <row r="6" spans="1:16" x14ac:dyDescent="0.25">
      <c r="M6" s="2">
        <v>45414.454121747687</v>
      </c>
      <c r="N6" s="3">
        <v>41.776004791259766</v>
      </c>
      <c r="O6" s="2">
        <v>45414.454282256942</v>
      </c>
      <c r="P6" s="3">
        <v>41.637336730957031</v>
      </c>
    </row>
    <row r="7" spans="1:16" x14ac:dyDescent="0.25">
      <c r="M7" s="2">
        <v>45414.454237488426</v>
      </c>
      <c r="N7" s="3">
        <v>41.676013946533203</v>
      </c>
      <c r="O7" s="2">
        <v>45414.454397997688</v>
      </c>
      <c r="P7" s="3">
        <v>41.662666320800781</v>
      </c>
    </row>
    <row r="8" spans="1:16" x14ac:dyDescent="0.25">
      <c r="M8" s="2">
        <v>45414.454353229165</v>
      </c>
      <c r="N8" s="3">
        <v>41.623992919921875</v>
      </c>
      <c r="O8" s="2">
        <v>45414.454513738427</v>
      </c>
      <c r="P8" s="3">
        <v>41.762660980224609</v>
      </c>
    </row>
    <row r="9" spans="1:16" x14ac:dyDescent="0.25">
      <c r="M9" s="2">
        <v>45414.454468969911</v>
      </c>
      <c r="N9" s="3">
        <v>41.723987579345703</v>
      </c>
      <c r="O9" s="2">
        <v>45414.454629479165</v>
      </c>
      <c r="P9" s="3">
        <v>41.800003051757813</v>
      </c>
    </row>
    <row r="10" spans="1:16" x14ac:dyDescent="0.25">
      <c r="M10" s="2">
        <v>45414.454584710649</v>
      </c>
      <c r="N10" s="3">
        <v>41.800003051757813</v>
      </c>
      <c r="O10" s="2">
        <v>45414.454745219904</v>
      </c>
      <c r="P10" s="3">
        <v>41.800003051757813</v>
      </c>
    </row>
    <row r="11" spans="1:16" x14ac:dyDescent="0.25">
      <c r="M11" s="2">
        <v>45414.454700451388</v>
      </c>
      <c r="N11" s="3">
        <v>41.800003051757813</v>
      </c>
      <c r="O11" s="2">
        <v>45414.45486096065</v>
      </c>
      <c r="P11" s="3">
        <v>41.800003051757813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workbookViewId="0">
      <selection activeCell="H13" sqref="H13"/>
    </sheetView>
  </sheetViews>
  <sheetFormatPr defaultRowHeight="15" x14ac:dyDescent="0.25"/>
  <cols>
    <col min="1" max="1" width="13.85546875" customWidth="1"/>
    <col min="7" max="7" width="18" bestFit="1" customWidth="1"/>
    <col min="9" max="9" width="18" bestFit="1" customWidth="1"/>
    <col min="11" max="11" width="18" bestFit="1" customWidth="1"/>
    <col min="13" max="13" width="18" bestFit="1" customWidth="1"/>
    <col min="15" max="15" width="18" bestFit="1" customWidth="1"/>
  </cols>
  <sheetData>
    <row r="1" spans="1:16" x14ac:dyDescent="0.25">
      <c r="B1" s="1" t="s">
        <v>8</v>
      </c>
      <c r="C1" s="1"/>
      <c r="D1" s="1" t="s">
        <v>9</v>
      </c>
      <c r="E1" s="1"/>
      <c r="F1" s="1" t="s">
        <v>10</v>
      </c>
      <c r="G1" s="1"/>
      <c r="H1" s="1" t="s">
        <v>11</v>
      </c>
      <c r="I1" s="1"/>
      <c r="J1" s="1" t="s">
        <v>12</v>
      </c>
      <c r="K1" s="1"/>
      <c r="L1" s="1" t="s">
        <v>13</v>
      </c>
      <c r="M1" s="1"/>
      <c r="N1" s="1" t="s">
        <v>14</v>
      </c>
      <c r="O1" s="1"/>
      <c r="P1" s="1" t="s">
        <v>15</v>
      </c>
    </row>
    <row r="2" spans="1:16" x14ac:dyDescent="0.25">
      <c r="A2" s="2">
        <v>45369.332870370374</v>
      </c>
      <c r="B2" s="3">
        <v>0</v>
      </c>
      <c r="C2" s="2">
        <v>45380.746759259258</v>
      </c>
      <c r="D2" s="3">
        <v>0</v>
      </c>
      <c r="E2" s="2">
        <v>45414.451394282405</v>
      </c>
      <c r="F2" s="3">
        <v>47.385589599609375</v>
      </c>
      <c r="G2" s="2">
        <v>45414.451394282405</v>
      </c>
      <c r="H2" s="3">
        <v>45.562999725341797</v>
      </c>
      <c r="I2" s="2">
        <v>45414.451394282405</v>
      </c>
      <c r="J2" s="3">
        <v>50.724540710449219</v>
      </c>
      <c r="K2" s="2">
        <v>45414.451394282405</v>
      </c>
      <c r="L2" s="3">
        <v>50.220935821533203</v>
      </c>
      <c r="M2" s="2">
        <v>45414.453658784725</v>
      </c>
      <c r="N2" s="3">
        <v>41.737998962402344</v>
      </c>
      <c r="O2" s="2">
        <v>45414.45381929398</v>
      </c>
      <c r="P2" s="3">
        <v>41.668663024902344</v>
      </c>
    </row>
    <row r="3" spans="1:16" x14ac:dyDescent="0.25">
      <c r="M3" s="2">
        <v>45414.453774525464</v>
      </c>
      <c r="N3" s="3">
        <v>41.687999725341797</v>
      </c>
      <c r="O3" s="2">
        <v>45414.453935034719</v>
      </c>
      <c r="P3" s="3">
        <v>41.618667602539063</v>
      </c>
    </row>
    <row r="4" spans="1:16" x14ac:dyDescent="0.25">
      <c r="M4" s="2">
        <v>45414.453890266203</v>
      </c>
      <c r="N4" s="3">
        <v>41.638004302978516</v>
      </c>
      <c r="O4" s="2">
        <v>45414.454050775465</v>
      </c>
      <c r="P4" s="3">
        <v>41.725353240966797</v>
      </c>
    </row>
    <row r="5" spans="1:16" x14ac:dyDescent="0.25">
      <c r="M5" s="2">
        <v>45414.454006006941</v>
      </c>
      <c r="N5" s="3">
        <v>41.648002624511719</v>
      </c>
      <c r="O5" s="2">
        <v>45414.454166516203</v>
      </c>
      <c r="P5" s="3">
        <v>41.737331390380859</v>
      </c>
    </row>
    <row r="6" spans="1:16" x14ac:dyDescent="0.25">
      <c r="M6" s="2">
        <v>45414.454121747687</v>
      </c>
      <c r="N6" s="3">
        <v>41.776004791259766</v>
      </c>
      <c r="O6" s="2">
        <v>45414.454282256942</v>
      </c>
      <c r="P6" s="3">
        <v>41.637336730957031</v>
      </c>
    </row>
    <row r="7" spans="1:16" x14ac:dyDescent="0.25">
      <c r="M7" s="2">
        <v>45414.454237488426</v>
      </c>
      <c r="N7" s="3">
        <v>41.676013946533203</v>
      </c>
      <c r="O7" s="2">
        <v>45414.454397997688</v>
      </c>
      <c r="P7" s="3">
        <v>41.662666320800781</v>
      </c>
    </row>
    <row r="8" spans="1:16" x14ac:dyDescent="0.25">
      <c r="M8" s="2">
        <v>45414.454353229165</v>
      </c>
      <c r="N8" s="3">
        <v>41.623992919921875</v>
      </c>
      <c r="O8" s="2">
        <v>45414.454513738427</v>
      </c>
      <c r="P8" s="3">
        <v>41.762660980224609</v>
      </c>
    </row>
    <row r="9" spans="1:16" x14ac:dyDescent="0.25">
      <c r="M9" s="2">
        <v>45414.454468969911</v>
      </c>
      <c r="N9" s="3">
        <v>41.723987579345703</v>
      </c>
      <c r="O9" s="2">
        <v>45414.454629479165</v>
      </c>
      <c r="P9" s="3">
        <v>41.800003051757813</v>
      </c>
    </row>
    <row r="10" spans="1:16" x14ac:dyDescent="0.25">
      <c r="M10" s="2">
        <v>45414.454584710649</v>
      </c>
      <c r="N10" s="3">
        <v>41.800003051757813</v>
      </c>
      <c r="O10" s="2">
        <v>45414.454745219904</v>
      </c>
      <c r="P10" s="3">
        <v>41.800003051757813</v>
      </c>
    </row>
    <row r="11" spans="1:16" x14ac:dyDescent="0.25">
      <c r="M11" s="2">
        <v>45414.454700451388</v>
      </c>
      <c r="N11" s="3">
        <v>41.800003051757813</v>
      </c>
      <c r="O11" s="2">
        <v>45414.45486096065</v>
      </c>
      <c r="P11" s="3">
        <v>41.800003051757813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2024-05-02T08:36:56Z</dcterms:created>
  <dcterms:modified xsi:type="dcterms:W3CDTF">2024-05-02T09:02:48Z</dcterms:modified>
</cp:coreProperties>
</file>